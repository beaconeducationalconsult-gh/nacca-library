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Record" sheetId="1" state="visible" r:id="rId1"/>
    <sheet xmlns:r="http://schemas.openxmlformats.org/officeDocument/2006/relationships" name="Indicator Analysis" sheetId="2" state="visible" r:id="rId2"/>
    <sheet xmlns:r="http://schemas.openxmlformats.org/officeDocument/2006/relationships" name="Distribution" sheetId="3" state="visible" r:id="rId3"/>
    <sheet xmlns:r="http://schemas.openxmlformats.org/officeDocument/2006/relationships" name="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A5A5A"/>
      <sz val="9"/>
    </font>
    <font>
      <b val="1"/>
      <color rgb="00143A5E"/>
      <sz val="9"/>
    </font>
    <font>
      <b val="1"/>
      <color rgb="00FFFFFF"/>
      <sz val="9"/>
    </font>
    <font>
      <b val="1"/>
      <sz val="9"/>
    </font>
    <font>
      <sz val="9"/>
    </font>
    <font>
      <b val="1"/>
      <color rgb="00143A5E"/>
      <sz val="10"/>
    </font>
    <font>
      <i val="1"/>
      <sz val="9"/>
    </font>
    <font>
      <b val="1"/>
      <color rgb="008B1A1A"/>
      <sz val="11"/>
    </font>
    <font>
      <b val="1"/>
      <sz val="10"/>
    </font>
    <font>
      <i val="1"/>
      <color rgb="005A5A5A"/>
      <sz val="8"/>
    </font>
  </fonts>
  <fills count="7">
    <fill>
      <patternFill/>
    </fill>
    <fill>
      <patternFill patternType="gray125"/>
    </fill>
    <fill>
      <patternFill patternType="solid">
        <fgColor rgb="00143A5E"/>
      </patternFill>
    </fill>
    <fill>
      <patternFill patternType="solid">
        <fgColor rgb="00E4EDF7"/>
      </patternFill>
    </fill>
    <fill>
      <patternFill patternType="solid">
        <fgColor rgb="000D7D8A"/>
      </patternFill>
    </fill>
    <fill>
      <patternFill patternType="solid">
        <fgColor rgb="00FFFDF0"/>
      </patternFill>
    </fill>
    <fill>
      <patternFill patternType="solid">
        <fgColor rgb="00EDF3F8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left" indent="1"/>
    </xf>
    <xf numFmtId="0" fontId="6" fillId="5" borderId="1" applyAlignment="1" pivotButton="0" quotePrefix="0" xfId="0">
      <alignment horizontal="center" indent="1"/>
    </xf>
    <xf numFmtId="164" fontId="6" fillId="6" borderId="1" applyAlignment="1" pivotButton="0" quotePrefix="0" xfId="0">
      <alignment horizontal="center" indent="1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 indent="1"/>
    </xf>
    <xf numFmtId="0" fontId="7" fillId="0" borderId="0" pivotButton="0" quotePrefix="0" xfId="0"/>
    <xf numFmtId="0" fontId="5" fillId="0" borderId="0" pivotButton="0" quotePrefix="0" xfId="0"/>
    <xf numFmtId="1" fontId="6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0" fontId="3" fillId="0" borderId="0" pivotButton="0" quotePrefix="0" xfId="0"/>
    <xf numFmtId="164" fontId="5" fillId="6" borderId="1" applyAlignment="1" pivotButton="0" quotePrefix="0" xfId="0">
      <alignment horizontal="center"/>
    </xf>
    <xf numFmtId="164" fontId="8" fillId="6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3" fillId="0" borderId="1" pivotButton="0" quotePrefix="0" xfId="0"/>
    <xf numFmtId="0" fontId="6" fillId="0" borderId="1" applyAlignment="1" pivotButton="0" quotePrefix="0" xfId="0">
      <alignment indent="1"/>
    </xf>
    <xf numFmtId="0" fontId="6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1" pivotButton="0" quotePrefix="0" xfId="0"/>
    <xf numFmtId="1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10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dxfs count="5">
    <dxf>
      <font>
        <color rgb="008B1A1A"/>
      </font>
      <fill>
        <patternFill patternType="solid">
          <fgColor rgb="00F8CBCB"/>
        </patternFill>
      </fill>
    </dxf>
    <dxf>
      <fill>
        <patternFill patternType="solid">
          <fgColor rgb="00FDE9C8"/>
        </patternFill>
      </fill>
    </dxf>
    <dxf>
      <fill>
        <patternFill patternType="solid">
          <fgColor rgb="00D6EFD8"/>
        </patternFill>
      </fill>
    </dxf>
    <dxf>
      <font>
        <b val="1"/>
        <color rgb="008B1A1A"/>
      </font>
      <fill>
        <patternFill patternType="solid">
          <fgColor rgb="00F8CBCB"/>
        </patternFill>
      </fill>
    </dxf>
    <dxf>
      <font>
        <b val="1"/>
        <color rgb="008B1A1A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 1 grade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'Distribution'!C4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'Distribution'!$A$5:$A$9</f>
            </numRef>
          </cat>
          <val>
            <numRef>
              <f>'Distribution'!$C$5:$C$9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Learners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10" customWidth="1" min="11" max="11"/>
    <col width="10" customWidth="1" min="12" max="12"/>
    <col width="8" customWidth="1" min="13" max="13"/>
    <col width="8" customWidth="1" min="14" max="14"/>
    <col width="30" customWidth="1" min="15" max="15"/>
  </cols>
  <sheetData>
    <row r="1" ht="26" customHeight="1">
      <c r="A1" s="1" t="inlineStr">
        <is>
          <t>BASIC 8 MATHEMATICS  •  TERM 1  •  CLASS ASSESSMENT RECORD</t>
        </is>
      </c>
    </row>
    <row r="2">
      <c r="A2" s="2" t="inlineStr">
        <is>
          <t>Type into the cream columns only. Blue columns calculate themselves. Maxima are in row 4. Weighting and grade boundaries are on the Settings sheet.</t>
        </is>
      </c>
    </row>
    <row r="3" ht="30" customHeight="1">
      <c r="A3" s="3" t="inlineStr">
        <is>
          <t>#</t>
        </is>
      </c>
      <c r="B3" s="3" t="inlineStr">
        <is>
          <t>Learner name</t>
        </is>
      </c>
      <c r="C3" s="3" t="inlineStr">
        <is>
          <t>UT1</t>
        </is>
      </c>
      <c r="D3" s="3" t="inlineStr">
        <is>
          <t>UT2</t>
        </is>
      </c>
      <c r="E3" s="3" t="inlineStr">
        <is>
          <t>UT3</t>
        </is>
      </c>
      <c r="F3" s="3" t="inlineStr">
        <is>
          <t>UT4</t>
        </is>
      </c>
      <c r="G3" s="3" t="inlineStr">
        <is>
          <t>R1</t>
        </is>
      </c>
      <c r="H3" s="3" t="inlineStr">
        <is>
          <t>R2</t>
        </is>
      </c>
      <c r="I3" s="3" t="inlineStr">
        <is>
          <t>R3</t>
        </is>
      </c>
      <c r="J3" s="3" t="inlineStr">
        <is>
          <t>Exam</t>
        </is>
      </c>
      <c r="K3" s="3" t="inlineStr">
        <is>
          <t>Classwork
50%</t>
        </is>
      </c>
      <c r="L3" s="3" t="inlineStr">
        <is>
          <t>Exam
50%</t>
        </is>
      </c>
      <c r="M3" s="3" t="inlineStr">
        <is>
          <t>Term
%</t>
        </is>
      </c>
      <c r="N3" s="3" t="inlineStr">
        <is>
          <t>Grade</t>
        </is>
      </c>
      <c r="O3" s="3" t="inlineStr">
        <is>
          <t>Comment</t>
        </is>
      </c>
    </row>
    <row r="4">
      <c r="B4" s="4" t="inlineStr">
        <is>
          <t>MAX →</t>
        </is>
      </c>
      <c r="C4" s="5" t="n">
        <v>20</v>
      </c>
      <c r="D4" s="5" t="n">
        <v>20</v>
      </c>
      <c r="E4" s="5" t="n">
        <v>30</v>
      </c>
      <c r="F4" s="5" t="n">
        <v>30</v>
      </c>
      <c r="G4" s="5" t="n">
        <v>10</v>
      </c>
      <c r="H4" s="5" t="n">
        <v>10</v>
      </c>
      <c r="I4" s="5" t="n">
        <v>20</v>
      </c>
      <c r="J4" s="5" t="n">
        <v>100</v>
      </c>
    </row>
    <row r="5">
      <c r="A5" s="6" t="n">
        <v>1</v>
      </c>
      <c r="B5" s="7" t="n"/>
      <c r="C5" s="8" t="n"/>
      <c r="D5" s="8" t="n"/>
      <c r="E5" s="8" t="n"/>
      <c r="F5" s="8" t="n"/>
      <c r="G5" s="8" t="n"/>
      <c r="H5" s="8" t="n"/>
      <c r="I5" s="8" t="n"/>
      <c r="J5" s="8" t="n"/>
      <c r="K5" s="9">
        <f>IF(COUNT(C5:J5)=0,"",(C5+D5+E5+F5+G5+H5+I5)/140*100)</f>
        <v/>
      </c>
      <c r="L5" s="9">
        <f>IF(COUNT(J5)=0,"",J5/100*100)</f>
        <v/>
      </c>
      <c r="M5" s="9">
        <f>IF(OR(COUNT(C5:J5)=0,J5=""),"",K5*Settings!$B$3/100+L5*Settings!$B$4/100)</f>
        <v/>
      </c>
      <c r="N5" s="10">
        <f>IF(M5="","",IFERROR(VLOOKUP(M5,Settings!$A$8:$B$12,2,TRUE),""))</f>
        <v/>
      </c>
      <c r="O5" s="11">
        <f>IF(M5="","",IF(M5&lt;Settings!$B$5,"Needs support — see Indicator Analysis",""))</f>
        <v/>
      </c>
    </row>
    <row r="6">
      <c r="A6" s="6" t="n">
        <v>2</v>
      </c>
      <c r="B6" s="7" t="n"/>
      <c r="C6" s="8" t="n"/>
      <c r="D6" s="8" t="n"/>
      <c r="E6" s="8" t="n"/>
      <c r="F6" s="8" t="n"/>
      <c r="G6" s="8" t="n"/>
      <c r="H6" s="8" t="n"/>
      <c r="I6" s="8" t="n"/>
      <c r="J6" s="8" t="n"/>
      <c r="K6" s="9">
        <f>IF(COUNT(C6:J6)=0,"",(C6+D6+E6+F6+G6+H6+I6)/140*100)</f>
        <v/>
      </c>
      <c r="L6" s="9">
        <f>IF(COUNT(J6)=0,"",J6/100*100)</f>
        <v/>
      </c>
      <c r="M6" s="9">
        <f>IF(OR(COUNT(C6:J6)=0,J6=""),"",K6*Settings!$B$3/100+L6*Settings!$B$4/100)</f>
        <v/>
      </c>
      <c r="N6" s="10">
        <f>IF(M6="","",IFERROR(VLOOKUP(M6,Settings!$A$8:$B$12,2,TRUE),""))</f>
        <v/>
      </c>
      <c r="O6" s="11">
        <f>IF(M6="","",IF(M6&lt;Settings!$B$5,"Needs support — see Indicator Analysis",""))</f>
        <v/>
      </c>
    </row>
    <row r="7">
      <c r="A7" s="6" t="n">
        <v>3</v>
      </c>
      <c r="B7" s="7" t="n"/>
      <c r="C7" s="8" t="n"/>
      <c r="D7" s="8" t="n"/>
      <c r="E7" s="8" t="n"/>
      <c r="F7" s="8" t="n"/>
      <c r="G7" s="8" t="n"/>
      <c r="H7" s="8" t="n"/>
      <c r="I7" s="8" t="n"/>
      <c r="J7" s="8" t="n"/>
      <c r="K7" s="9">
        <f>IF(COUNT(C7:J7)=0,"",(C7+D7+E7+F7+G7+H7+I7)/140*100)</f>
        <v/>
      </c>
      <c r="L7" s="9">
        <f>IF(COUNT(J7)=0,"",J7/100*100)</f>
        <v/>
      </c>
      <c r="M7" s="9">
        <f>IF(OR(COUNT(C7:J7)=0,J7=""),"",K7*Settings!$B$3/100+L7*Settings!$B$4/100)</f>
        <v/>
      </c>
      <c r="N7" s="10">
        <f>IF(M7="","",IFERROR(VLOOKUP(M7,Settings!$A$8:$B$12,2,TRUE),""))</f>
        <v/>
      </c>
      <c r="O7" s="11">
        <f>IF(M7="","",IF(M7&lt;Settings!$B$5,"Needs support — see Indicator Analysis",""))</f>
        <v/>
      </c>
    </row>
    <row r="8">
      <c r="A8" s="6" t="n">
        <v>4</v>
      </c>
      <c r="B8" s="7" t="n"/>
      <c r="C8" s="8" t="n"/>
      <c r="D8" s="8" t="n"/>
      <c r="E8" s="8" t="n"/>
      <c r="F8" s="8" t="n"/>
      <c r="G8" s="8" t="n"/>
      <c r="H8" s="8" t="n"/>
      <c r="I8" s="8" t="n"/>
      <c r="J8" s="8" t="n"/>
      <c r="K8" s="9">
        <f>IF(COUNT(C8:J8)=0,"",(C8+D8+E8+F8+G8+H8+I8)/140*100)</f>
        <v/>
      </c>
      <c r="L8" s="9">
        <f>IF(COUNT(J8)=0,"",J8/100*100)</f>
        <v/>
      </c>
      <c r="M8" s="9">
        <f>IF(OR(COUNT(C8:J8)=0,J8=""),"",K8*Settings!$B$3/100+L8*Settings!$B$4/100)</f>
        <v/>
      </c>
      <c r="N8" s="10">
        <f>IF(M8="","",IFERROR(VLOOKUP(M8,Settings!$A$8:$B$12,2,TRUE),""))</f>
        <v/>
      </c>
      <c r="O8" s="11">
        <f>IF(M8="","",IF(M8&lt;Settings!$B$5,"Needs support — see Indicator Analysis",""))</f>
        <v/>
      </c>
    </row>
    <row r="9">
      <c r="A9" s="6" t="n">
        <v>5</v>
      </c>
      <c r="B9" s="7" t="n"/>
      <c r="C9" s="8" t="n"/>
      <c r="D9" s="8" t="n"/>
      <c r="E9" s="8" t="n"/>
      <c r="F9" s="8" t="n"/>
      <c r="G9" s="8" t="n"/>
      <c r="H9" s="8" t="n"/>
      <c r="I9" s="8" t="n"/>
      <c r="J9" s="8" t="n"/>
      <c r="K9" s="9">
        <f>IF(COUNT(C9:J9)=0,"",(C9+D9+E9+F9+G9+H9+I9)/140*100)</f>
        <v/>
      </c>
      <c r="L9" s="9">
        <f>IF(COUNT(J9)=0,"",J9/100*100)</f>
        <v/>
      </c>
      <c r="M9" s="9">
        <f>IF(OR(COUNT(C9:J9)=0,J9=""),"",K9*Settings!$B$3/100+L9*Settings!$B$4/100)</f>
        <v/>
      </c>
      <c r="N9" s="10">
        <f>IF(M9="","",IFERROR(VLOOKUP(M9,Settings!$A$8:$B$12,2,TRUE),""))</f>
        <v/>
      </c>
      <c r="O9" s="11">
        <f>IF(M9="","",IF(M9&lt;Settings!$B$5,"Needs support — see Indicator Analysis",""))</f>
        <v/>
      </c>
    </row>
    <row r="10">
      <c r="A10" s="6" t="n">
        <v>6</v>
      </c>
      <c r="B10" s="7" t="n"/>
      <c r="C10" s="8" t="n"/>
      <c r="D10" s="8" t="n"/>
      <c r="E10" s="8" t="n"/>
      <c r="F10" s="8" t="n"/>
      <c r="G10" s="8" t="n"/>
      <c r="H10" s="8" t="n"/>
      <c r="I10" s="8" t="n"/>
      <c r="J10" s="8" t="n"/>
      <c r="K10" s="9">
        <f>IF(COUNT(C10:J10)=0,"",(C10+D10+E10+F10+G10+H10+I10)/140*100)</f>
        <v/>
      </c>
      <c r="L10" s="9">
        <f>IF(COUNT(J10)=0,"",J10/100*100)</f>
        <v/>
      </c>
      <c r="M10" s="9">
        <f>IF(OR(COUNT(C10:J10)=0,J10=""),"",K10*Settings!$B$3/100+L10*Settings!$B$4/100)</f>
        <v/>
      </c>
      <c r="N10" s="10">
        <f>IF(M10="","",IFERROR(VLOOKUP(M10,Settings!$A$8:$B$12,2,TRUE),""))</f>
        <v/>
      </c>
      <c r="O10" s="11">
        <f>IF(M10="","",IF(M10&lt;Settings!$B$5,"Needs support — see Indicator Analysis",""))</f>
        <v/>
      </c>
    </row>
    <row r="11">
      <c r="A11" s="6" t="n">
        <v>7</v>
      </c>
      <c r="B11" s="7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>
        <f>IF(COUNT(C11:J11)=0,"",(C11+D11+E11+F11+G11+H11+I11)/140*100)</f>
        <v/>
      </c>
      <c r="L11" s="9">
        <f>IF(COUNT(J11)=0,"",J11/100*100)</f>
        <v/>
      </c>
      <c r="M11" s="9">
        <f>IF(OR(COUNT(C11:J11)=0,J11=""),"",K11*Settings!$B$3/100+L11*Settings!$B$4/100)</f>
        <v/>
      </c>
      <c r="N11" s="10">
        <f>IF(M11="","",IFERROR(VLOOKUP(M11,Settings!$A$8:$B$12,2,TRUE),""))</f>
        <v/>
      </c>
      <c r="O11" s="11">
        <f>IF(M11="","",IF(M11&lt;Settings!$B$5,"Needs support — see Indicator Analysis",""))</f>
        <v/>
      </c>
    </row>
    <row r="12">
      <c r="A12" s="6" t="n">
        <v>8</v>
      </c>
      <c r="B12" s="7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>
        <f>IF(COUNT(C12:J12)=0,"",(C12+D12+E12+F12+G12+H12+I12)/140*100)</f>
        <v/>
      </c>
      <c r="L12" s="9">
        <f>IF(COUNT(J12)=0,"",J12/100*100)</f>
        <v/>
      </c>
      <c r="M12" s="9">
        <f>IF(OR(COUNT(C12:J12)=0,J12=""),"",K12*Settings!$B$3/100+L12*Settings!$B$4/100)</f>
        <v/>
      </c>
      <c r="N12" s="10">
        <f>IF(M12="","",IFERROR(VLOOKUP(M12,Settings!$A$8:$B$12,2,TRUE),""))</f>
        <v/>
      </c>
      <c r="O12" s="11">
        <f>IF(M12="","",IF(M12&lt;Settings!$B$5,"Needs support — see Indicator Analysis",""))</f>
        <v/>
      </c>
    </row>
    <row r="13">
      <c r="A13" s="6" t="n">
        <v>9</v>
      </c>
      <c r="B13" s="7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>
        <f>IF(COUNT(C13:J13)=0,"",(C13+D13+E13+F13+G13+H13+I13)/140*100)</f>
        <v/>
      </c>
      <c r="L13" s="9">
        <f>IF(COUNT(J13)=0,"",J13/100*100)</f>
        <v/>
      </c>
      <c r="M13" s="9">
        <f>IF(OR(COUNT(C13:J13)=0,J13=""),"",K13*Settings!$B$3/100+L13*Settings!$B$4/100)</f>
        <v/>
      </c>
      <c r="N13" s="10">
        <f>IF(M13="","",IFERROR(VLOOKUP(M13,Settings!$A$8:$B$12,2,TRUE),""))</f>
        <v/>
      </c>
      <c r="O13" s="11">
        <f>IF(M13="","",IF(M13&lt;Settings!$B$5,"Needs support — see Indicator Analysis",""))</f>
        <v/>
      </c>
    </row>
    <row r="14">
      <c r="A14" s="6" t="n">
        <v>10</v>
      </c>
      <c r="B14" s="7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>
        <f>IF(COUNT(C14:J14)=0,"",(C14+D14+E14+F14+G14+H14+I14)/140*100)</f>
        <v/>
      </c>
      <c r="L14" s="9">
        <f>IF(COUNT(J14)=0,"",J14/100*100)</f>
        <v/>
      </c>
      <c r="M14" s="9">
        <f>IF(OR(COUNT(C14:J14)=0,J14=""),"",K14*Settings!$B$3/100+L14*Settings!$B$4/100)</f>
        <v/>
      </c>
      <c r="N14" s="10">
        <f>IF(M14="","",IFERROR(VLOOKUP(M14,Settings!$A$8:$B$12,2,TRUE),""))</f>
        <v/>
      </c>
      <c r="O14" s="11">
        <f>IF(M14="","",IF(M14&lt;Settings!$B$5,"Needs support — see Indicator Analysis",""))</f>
        <v/>
      </c>
    </row>
    <row r="15">
      <c r="A15" s="6" t="n">
        <v>11</v>
      </c>
      <c r="B15" s="7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>
        <f>IF(COUNT(C15:J15)=0,"",(C15+D15+E15+F15+G15+H15+I15)/140*100)</f>
        <v/>
      </c>
      <c r="L15" s="9">
        <f>IF(COUNT(J15)=0,"",J15/100*100)</f>
        <v/>
      </c>
      <c r="M15" s="9">
        <f>IF(OR(COUNT(C15:J15)=0,J15=""),"",K15*Settings!$B$3/100+L15*Settings!$B$4/100)</f>
        <v/>
      </c>
      <c r="N15" s="10">
        <f>IF(M15="","",IFERROR(VLOOKUP(M15,Settings!$A$8:$B$12,2,TRUE),""))</f>
        <v/>
      </c>
      <c r="O15" s="11">
        <f>IF(M15="","",IF(M15&lt;Settings!$B$5,"Needs support — see Indicator Analysis",""))</f>
        <v/>
      </c>
    </row>
    <row r="16">
      <c r="A16" s="6" t="n">
        <v>12</v>
      </c>
      <c r="B16" s="7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>
        <f>IF(COUNT(C16:J16)=0,"",(C16+D16+E16+F16+G16+H16+I16)/140*100)</f>
        <v/>
      </c>
      <c r="L16" s="9">
        <f>IF(COUNT(J16)=0,"",J16/100*100)</f>
        <v/>
      </c>
      <c r="M16" s="9">
        <f>IF(OR(COUNT(C16:J16)=0,J16=""),"",K16*Settings!$B$3/100+L16*Settings!$B$4/100)</f>
        <v/>
      </c>
      <c r="N16" s="10">
        <f>IF(M16="","",IFERROR(VLOOKUP(M16,Settings!$A$8:$B$12,2,TRUE),""))</f>
        <v/>
      </c>
      <c r="O16" s="11">
        <f>IF(M16="","",IF(M16&lt;Settings!$B$5,"Needs support — see Indicator Analysis",""))</f>
        <v/>
      </c>
    </row>
    <row r="17">
      <c r="A17" s="6" t="n">
        <v>13</v>
      </c>
      <c r="B17" s="7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>
        <f>IF(COUNT(C17:J17)=0,"",(C17+D17+E17+F17+G17+H17+I17)/140*100)</f>
        <v/>
      </c>
      <c r="L17" s="9">
        <f>IF(COUNT(J17)=0,"",J17/100*100)</f>
        <v/>
      </c>
      <c r="M17" s="9">
        <f>IF(OR(COUNT(C17:J17)=0,J17=""),"",K17*Settings!$B$3/100+L17*Settings!$B$4/100)</f>
        <v/>
      </c>
      <c r="N17" s="10">
        <f>IF(M17="","",IFERROR(VLOOKUP(M17,Settings!$A$8:$B$12,2,TRUE),""))</f>
        <v/>
      </c>
      <c r="O17" s="11">
        <f>IF(M17="","",IF(M17&lt;Settings!$B$5,"Needs support — see Indicator Analysis",""))</f>
        <v/>
      </c>
    </row>
    <row r="18">
      <c r="A18" s="6" t="n">
        <v>14</v>
      </c>
      <c r="B18" s="7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>
        <f>IF(COUNT(C18:J18)=0,"",(C18+D18+E18+F18+G18+H18+I18)/140*100)</f>
        <v/>
      </c>
      <c r="L18" s="9">
        <f>IF(COUNT(J18)=0,"",J18/100*100)</f>
        <v/>
      </c>
      <c r="M18" s="9">
        <f>IF(OR(COUNT(C18:J18)=0,J18=""),"",K18*Settings!$B$3/100+L18*Settings!$B$4/100)</f>
        <v/>
      </c>
      <c r="N18" s="10">
        <f>IF(M18="","",IFERROR(VLOOKUP(M18,Settings!$A$8:$B$12,2,TRUE),""))</f>
        <v/>
      </c>
      <c r="O18" s="11">
        <f>IF(M18="","",IF(M18&lt;Settings!$B$5,"Needs support — see Indicator Analysis",""))</f>
        <v/>
      </c>
    </row>
    <row r="19">
      <c r="A19" s="6" t="n">
        <v>15</v>
      </c>
      <c r="B19" s="7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>
        <f>IF(COUNT(C19:J19)=0,"",(C19+D19+E19+F19+G19+H19+I19)/140*100)</f>
        <v/>
      </c>
      <c r="L19" s="9">
        <f>IF(COUNT(J19)=0,"",J19/100*100)</f>
        <v/>
      </c>
      <c r="M19" s="9">
        <f>IF(OR(COUNT(C19:J19)=0,J19=""),"",K19*Settings!$B$3/100+L19*Settings!$B$4/100)</f>
        <v/>
      </c>
      <c r="N19" s="10">
        <f>IF(M19="","",IFERROR(VLOOKUP(M19,Settings!$A$8:$B$12,2,TRUE),""))</f>
        <v/>
      </c>
      <c r="O19" s="11">
        <f>IF(M19="","",IF(M19&lt;Settings!$B$5,"Needs support — see Indicator Analysis",""))</f>
        <v/>
      </c>
    </row>
    <row r="20">
      <c r="A20" s="6" t="n">
        <v>16</v>
      </c>
      <c r="B20" s="7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>
        <f>IF(COUNT(C20:J20)=0,"",(C20+D20+E20+F20+G20+H20+I20)/140*100)</f>
        <v/>
      </c>
      <c r="L20" s="9">
        <f>IF(COUNT(J20)=0,"",J20/100*100)</f>
        <v/>
      </c>
      <c r="M20" s="9">
        <f>IF(OR(COUNT(C20:J20)=0,J20=""),"",K20*Settings!$B$3/100+L20*Settings!$B$4/100)</f>
        <v/>
      </c>
      <c r="N20" s="10">
        <f>IF(M20="","",IFERROR(VLOOKUP(M20,Settings!$A$8:$B$12,2,TRUE),""))</f>
        <v/>
      </c>
      <c r="O20" s="11">
        <f>IF(M20="","",IF(M20&lt;Settings!$B$5,"Needs support — see Indicator Analysis",""))</f>
        <v/>
      </c>
    </row>
    <row r="21">
      <c r="A21" s="6" t="n">
        <v>17</v>
      </c>
      <c r="B21" s="7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>
        <f>IF(COUNT(C21:J21)=0,"",(C21+D21+E21+F21+G21+H21+I21)/140*100)</f>
        <v/>
      </c>
      <c r="L21" s="9">
        <f>IF(COUNT(J21)=0,"",J21/100*100)</f>
        <v/>
      </c>
      <c r="M21" s="9">
        <f>IF(OR(COUNT(C21:J21)=0,J21=""),"",K21*Settings!$B$3/100+L21*Settings!$B$4/100)</f>
        <v/>
      </c>
      <c r="N21" s="10">
        <f>IF(M21="","",IFERROR(VLOOKUP(M21,Settings!$A$8:$B$12,2,TRUE),""))</f>
        <v/>
      </c>
      <c r="O21" s="11">
        <f>IF(M21="","",IF(M21&lt;Settings!$B$5,"Needs support — see Indicator Analysis",""))</f>
        <v/>
      </c>
    </row>
    <row r="22">
      <c r="A22" s="6" t="n">
        <v>18</v>
      </c>
      <c r="B22" s="7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>
        <f>IF(COUNT(C22:J22)=0,"",(C22+D22+E22+F22+G22+H22+I22)/140*100)</f>
        <v/>
      </c>
      <c r="L22" s="9">
        <f>IF(COUNT(J22)=0,"",J22/100*100)</f>
        <v/>
      </c>
      <c r="M22" s="9">
        <f>IF(OR(COUNT(C22:J22)=0,J22=""),"",K22*Settings!$B$3/100+L22*Settings!$B$4/100)</f>
        <v/>
      </c>
      <c r="N22" s="10">
        <f>IF(M22="","",IFERROR(VLOOKUP(M22,Settings!$A$8:$B$12,2,TRUE),""))</f>
        <v/>
      </c>
      <c r="O22" s="11">
        <f>IF(M22="","",IF(M22&lt;Settings!$B$5,"Needs support — see Indicator Analysis",""))</f>
        <v/>
      </c>
    </row>
    <row r="23">
      <c r="A23" s="6" t="n">
        <v>19</v>
      </c>
      <c r="B23" s="7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>
        <f>IF(COUNT(C23:J23)=0,"",(C23+D23+E23+F23+G23+H23+I23)/140*100)</f>
        <v/>
      </c>
      <c r="L23" s="9">
        <f>IF(COUNT(J23)=0,"",J23/100*100)</f>
        <v/>
      </c>
      <c r="M23" s="9">
        <f>IF(OR(COUNT(C23:J23)=0,J23=""),"",K23*Settings!$B$3/100+L23*Settings!$B$4/100)</f>
        <v/>
      </c>
      <c r="N23" s="10">
        <f>IF(M23="","",IFERROR(VLOOKUP(M23,Settings!$A$8:$B$12,2,TRUE),""))</f>
        <v/>
      </c>
      <c r="O23" s="11">
        <f>IF(M23="","",IF(M23&lt;Settings!$B$5,"Needs support — see Indicator Analysis",""))</f>
        <v/>
      </c>
    </row>
    <row r="24">
      <c r="A24" s="6" t="n">
        <v>20</v>
      </c>
      <c r="B24" s="7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>
        <f>IF(COUNT(C24:J24)=0,"",(C24+D24+E24+F24+G24+H24+I24)/140*100)</f>
        <v/>
      </c>
      <c r="L24" s="9">
        <f>IF(COUNT(J24)=0,"",J24/100*100)</f>
        <v/>
      </c>
      <c r="M24" s="9">
        <f>IF(OR(COUNT(C24:J24)=0,J24=""),"",K24*Settings!$B$3/100+L24*Settings!$B$4/100)</f>
        <v/>
      </c>
      <c r="N24" s="10">
        <f>IF(M24="","",IFERROR(VLOOKUP(M24,Settings!$A$8:$B$12,2,TRUE),""))</f>
        <v/>
      </c>
      <c r="O24" s="11">
        <f>IF(M24="","",IF(M24&lt;Settings!$B$5,"Needs support — see Indicator Analysis",""))</f>
        <v/>
      </c>
    </row>
    <row r="25">
      <c r="A25" s="6" t="n">
        <v>21</v>
      </c>
      <c r="B25" s="7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>
        <f>IF(COUNT(C25:J25)=0,"",(C25+D25+E25+F25+G25+H25+I25)/140*100)</f>
        <v/>
      </c>
      <c r="L25" s="9">
        <f>IF(COUNT(J25)=0,"",J25/100*100)</f>
        <v/>
      </c>
      <c r="M25" s="9">
        <f>IF(OR(COUNT(C25:J25)=0,J25=""),"",K25*Settings!$B$3/100+L25*Settings!$B$4/100)</f>
        <v/>
      </c>
      <c r="N25" s="10">
        <f>IF(M25="","",IFERROR(VLOOKUP(M25,Settings!$A$8:$B$12,2,TRUE),""))</f>
        <v/>
      </c>
      <c r="O25" s="11">
        <f>IF(M25="","",IF(M25&lt;Settings!$B$5,"Needs support — see Indicator Analysis",""))</f>
        <v/>
      </c>
    </row>
    <row r="26">
      <c r="A26" s="6" t="n">
        <v>22</v>
      </c>
      <c r="B26" s="7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>
        <f>IF(COUNT(C26:J26)=0,"",(C26+D26+E26+F26+G26+H26+I26)/140*100)</f>
        <v/>
      </c>
      <c r="L26" s="9">
        <f>IF(COUNT(J26)=0,"",J26/100*100)</f>
        <v/>
      </c>
      <c r="M26" s="9">
        <f>IF(OR(COUNT(C26:J26)=0,J26=""),"",K26*Settings!$B$3/100+L26*Settings!$B$4/100)</f>
        <v/>
      </c>
      <c r="N26" s="10">
        <f>IF(M26="","",IFERROR(VLOOKUP(M26,Settings!$A$8:$B$12,2,TRUE),""))</f>
        <v/>
      </c>
      <c r="O26" s="11">
        <f>IF(M26="","",IF(M26&lt;Settings!$B$5,"Needs support — see Indicator Analysis",""))</f>
        <v/>
      </c>
    </row>
    <row r="27">
      <c r="A27" s="6" t="n">
        <v>23</v>
      </c>
      <c r="B27" s="7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>
        <f>IF(COUNT(C27:J27)=0,"",(C27+D27+E27+F27+G27+H27+I27)/140*100)</f>
        <v/>
      </c>
      <c r="L27" s="9">
        <f>IF(COUNT(J27)=0,"",J27/100*100)</f>
        <v/>
      </c>
      <c r="M27" s="9">
        <f>IF(OR(COUNT(C27:J27)=0,J27=""),"",K27*Settings!$B$3/100+L27*Settings!$B$4/100)</f>
        <v/>
      </c>
      <c r="N27" s="10">
        <f>IF(M27="","",IFERROR(VLOOKUP(M27,Settings!$A$8:$B$12,2,TRUE),""))</f>
        <v/>
      </c>
      <c r="O27" s="11">
        <f>IF(M27="","",IF(M27&lt;Settings!$B$5,"Needs support — see Indicator Analysis",""))</f>
        <v/>
      </c>
    </row>
    <row r="28">
      <c r="A28" s="6" t="n">
        <v>24</v>
      </c>
      <c r="B28" s="7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>
        <f>IF(COUNT(C28:J28)=0,"",(C28+D28+E28+F28+G28+H28+I28)/140*100)</f>
        <v/>
      </c>
      <c r="L28" s="9">
        <f>IF(COUNT(J28)=0,"",J28/100*100)</f>
        <v/>
      </c>
      <c r="M28" s="9">
        <f>IF(OR(COUNT(C28:J28)=0,J28=""),"",K28*Settings!$B$3/100+L28*Settings!$B$4/100)</f>
        <v/>
      </c>
      <c r="N28" s="10">
        <f>IF(M28="","",IFERROR(VLOOKUP(M28,Settings!$A$8:$B$12,2,TRUE),""))</f>
        <v/>
      </c>
      <c r="O28" s="11">
        <f>IF(M28="","",IF(M28&lt;Settings!$B$5,"Needs support — see Indicator Analysis",""))</f>
        <v/>
      </c>
    </row>
    <row r="29">
      <c r="A29" s="6" t="n">
        <v>25</v>
      </c>
      <c r="B29" s="7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>
        <f>IF(COUNT(C29:J29)=0,"",(C29+D29+E29+F29+G29+H29+I29)/140*100)</f>
        <v/>
      </c>
      <c r="L29" s="9">
        <f>IF(COUNT(J29)=0,"",J29/100*100)</f>
        <v/>
      </c>
      <c r="M29" s="9">
        <f>IF(OR(COUNT(C29:J29)=0,J29=""),"",K29*Settings!$B$3/100+L29*Settings!$B$4/100)</f>
        <v/>
      </c>
      <c r="N29" s="10">
        <f>IF(M29="","",IFERROR(VLOOKUP(M29,Settings!$A$8:$B$12,2,TRUE),""))</f>
        <v/>
      </c>
      <c r="O29" s="11">
        <f>IF(M29="","",IF(M29&lt;Settings!$B$5,"Needs support — see Indicator Analysis",""))</f>
        <v/>
      </c>
    </row>
    <row r="30">
      <c r="A30" s="6" t="n">
        <v>26</v>
      </c>
      <c r="B30" s="7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>
        <f>IF(COUNT(C30:J30)=0,"",(C30+D30+E30+F30+G30+H30+I30)/140*100)</f>
        <v/>
      </c>
      <c r="L30" s="9">
        <f>IF(COUNT(J30)=0,"",J30/100*100)</f>
        <v/>
      </c>
      <c r="M30" s="9">
        <f>IF(OR(COUNT(C30:J30)=0,J30=""),"",K30*Settings!$B$3/100+L30*Settings!$B$4/100)</f>
        <v/>
      </c>
      <c r="N30" s="10">
        <f>IF(M30="","",IFERROR(VLOOKUP(M30,Settings!$A$8:$B$12,2,TRUE),""))</f>
        <v/>
      </c>
      <c r="O30" s="11">
        <f>IF(M30="","",IF(M30&lt;Settings!$B$5,"Needs support — see Indicator Analysis",""))</f>
        <v/>
      </c>
    </row>
    <row r="31">
      <c r="A31" s="6" t="n">
        <v>27</v>
      </c>
      <c r="B31" s="7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>
        <f>IF(COUNT(C31:J31)=0,"",(C31+D31+E31+F31+G31+H31+I31)/140*100)</f>
        <v/>
      </c>
      <c r="L31" s="9">
        <f>IF(COUNT(J31)=0,"",J31/100*100)</f>
        <v/>
      </c>
      <c r="M31" s="9">
        <f>IF(OR(COUNT(C31:J31)=0,J31=""),"",K31*Settings!$B$3/100+L31*Settings!$B$4/100)</f>
        <v/>
      </c>
      <c r="N31" s="10">
        <f>IF(M31="","",IFERROR(VLOOKUP(M31,Settings!$A$8:$B$12,2,TRUE),""))</f>
        <v/>
      </c>
      <c r="O31" s="11">
        <f>IF(M31="","",IF(M31&lt;Settings!$B$5,"Needs support — see Indicator Analysis",""))</f>
        <v/>
      </c>
    </row>
    <row r="32">
      <c r="A32" s="6" t="n">
        <v>28</v>
      </c>
      <c r="B32" s="7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>
        <f>IF(COUNT(C32:J32)=0,"",(C32+D32+E32+F32+G32+H32+I32)/140*100)</f>
        <v/>
      </c>
      <c r="L32" s="9">
        <f>IF(COUNT(J32)=0,"",J32/100*100)</f>
        <v/>
      </c>
      <c r="M32" s="9">
        <f>IF(OR(COUNT(C32:J32)=0,J32=""),"",K32*Settings!$B$3/100+L32*Settings!$B$4/100)</f>
        <v/>
      </c>
      <c r="N32" s="10">
        <f>IF(M32="","",IFERROR(VLOOKUP(M32,Settings!$A$8:$B$12,2,TRUE),""))</f>
        <v/>
      </c>
      <c r="O32" s="11">
        <f>IF(M32="","",IF(M32&lt;Settings!$B$5,"Needs support — see Indicator Analysis",""))</f>
        <v/>
      </c>
    </row>
    <row r="33">
      <c r="A33" s="6" t="n">
        <v>29</v>
      </c>
      <c r="B33" s="7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>
        <f>IF(COUNT(C33:J33)=0,"",(C33+D33+E33+F33+G33+H33+I33)/140*100)</f>
        <v/>
      </c>
      <c r="L33" s="9">
        <f>IF(COUNT(J33)=0,"",J33/100*100)</f>
        <v/>
      </c>
      <c r="M33" s="9">
        <f>IF(OR(COUNT(C33:J33)=0,J33=""),"",K33*Settings!$B$3/100+L33*Settings!$B$4/100)</f>
        <v/>
      </c>
      <c r="N33" s="10">
        <f>IF(M33="","",IFERROR(VLOOKUP(M33,Settings!$A$8:$B$12,2,TRUE),""))</f>
        <v/>
      </c>
      <c r="O33" s="11">
        <f>IF(M33="","",IF(M33&lt;Settings!$B$5,"Needs support — see Indicator Analysis",""))</f>
        <v/>
      </c>
    </row>
    <row r="34">
      <c r="A34" s="6" t="n">
        <v>30</v>
      </c>
      <c r="B34" s="7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>
        <f>IF(COUNT(C34:J34)=0,"",(C34+D34+E34+F34+G34+H34+I34)/140*100)</f>
        <v/>
      </c>
      <c r="L34" s="9">
        <f>IF(COUNT(J34)=0,"",J34/100*100)</f>
        <v/>
      </c>
      <c r="M34" s="9">
        <f>IF(OR(COUNT(C34:J34)=0,J34=""),"",K34*Settings!$B$3/100+L34*Settings!$B$4/100)</f>
        <v/>
      </c>
      <c r="N34" s="10">
        <f>IF(M34="","",IFERROR(VLOOKUP(M34,Settings!$A$8:$B$12,2,TRUE),""))</f>
        <v/>
      </c>
      <c r="O34" s="11">
        <f>IF(M34="","",IF(M34&lt;Settings!$B$5,"Needs support — see Indicator Analysis",""))</f>
        <v/>
      </c>
    </row>
    <row r="35">
      <c r="A35" s="6" t="n">
        <v>31</v>
      </c>
      <c r="B35" s="7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>
        <f>IF(COUNT(C35:J35)=0,"",(C35+D35+E35+F35+G35+H35+I35)/140*100)</f>
        <v/>
      </c>
      <c r="L35" s="9">
        <f>IF(COUNT(J35)=0,"",J35/100*100)</f>
        <v/>
      </c>
      <c r="M35" s="9">
        <f>IF(OR(COUNT(C35:J35)=0,J35=""),"",K35*Settings!$B$3/100+L35*Settings!$B$4/100)</f>
        <v/>
      </c>
      <c r="N35" s="10">
        <f>IF(M35="","",IFERROR(VLOOKUP(M35,Settings!$A$8:$B$12,2,TRUE),""))</f>
        <v/>
      </c>
      <c r="O35" s="11">
        <f>IF(M35="","",IF(M35&lt;Settings!$B$5,"Needs support — see Indicator Analysis",""))</f>
        <v/>
      </c>
    </row>
    <row r="36">
      <c r="A36" s="6" t="n">
        <v>32</v>
      </c>
      <c r="B36" s="7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>
        <f>IF(COUNT(C36:J36)=0,"",(C36+D36+E36+F36+G36+H36+I36)/140*100)</f>
        <v/>
      </c>
      <c r="L36" s="9">
        <f>IF(COUNT(J36)=0,"",J36/100*100)</f>
        <v/>
      </c>
      <c r="M36" s="9">
        <f>IF(OR(COUNT(C36:J36)=0,J36=""),"",K36*Settings!$B$3/100+L36*Settings!$B$4/100)</f>
        <v/>
      </c>
      <c r="N36" s="10">
        <f>IF(M36="","",IFERROR(VLOOKUP(M36,Settings!$A$8:$B$12,2,TRUE),""))</f>
        <v/>
      </c>
      <c r="O36" s="11">
        <f>IF(M36="","",IF(M36&lt;Settings!$B$5,"Needs support — see Indicator Analysis",""))</f>
        <v/>
      </c>
    </row>
    <row r="37">
      <c r="A37" s="6" t="n">
        <v>33</v>
      </c>
      <c r="B37" s="7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>
        <f>IF(COUNT(C37:J37)=0,"",(C37+D37+E37+F37+G37+H37+I37)/140*100)</f>
        <v/>
      </c>
      <c r="L37" s="9">
        <f>IF(COUNT(J37)=0,"",J37/100*100)</f>
        <v/>
      </c>
      <c r="M37" s="9">
        <f>IF(OR(COUNT(C37:J37)=0,J37=""),"",K37*Settings!$B$3/100+L37*Settings!$B$4/100)</f>
        <v/>
      </c>
      <c r="N37" s="10">
        <f>IF(M37="","",IFERROR(VLOOKUP(M37,Settings!$A$8:$B$12,2,TRUE),""))</f>
        <v/>
      </c>
      <c r="O37" s="11">
        <f>IF(M37="","",IF(M37&lt;Settings!$B$5,"Needs support — see Indicator Analysis",""))</f>
        <v/>
      </c>
    </row>
    <row r="38">
      <c r="A38" s="6" t="n">
        <v>34</v>
      </c>
      <c r="B38" s="7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>
        <f>IF(COUNT(C38:J38)=0,"",(C38+D38+E38+F38+G38+H38+I38)/140*100)</f>
        <v/>
      </c>
      <c r="L38" s="9">
        <f>IF(COUNT(J38)=0,"",J38/100*100)</f>
        <v/>
      </c>
      <c r="M38" s="9">
        <f>IF(OR(COUNT(C38:J38)=0,J38=""),"",K38*Settings!$B$3/100+L38*Settings!$B$4/100)</f>
        <v/>
      </c>
      <c r="N38" s="10">
        <f>IF(M38="","",IFERROR(VLOOKUP(M38,Settings!$A$8:$B$12,2,TRUE),""))</f>
        <v/>
      </c>
      <c r="O38" s="11">
        <f>IF(M38="","",IF(M38&lt;Settings!$B$5,"Needs support — see Indicator Analysis",""))</f>
        <v/>
      </c>
    </row>
    <row r="39">
      <c r="A39" s="6" t="n">
        <v>35</v>
      </c>
      <c r="B39" s="7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>
        <f>IF(COUNT(C39:J39)=0,"",(C39+D39+E39+F39+G39+H39+I39)/140*100)</f>
        <v/>
      </c>
      <c r="L39" s="9">
        <f>IF(COUNT(J39)=0,"",J39/100*100)</f>
        <v/>
      </c>
      <c r="M39" s="9">
        <f>IF(OR(COUNT(C39:J39)=0,J39=""),"",K39*Settings!$B$3/100+L39*Settings!$B$4/100)</f>
        <v/>
      </c>
      <c r="N39" s="10">
        <f>IF(M39="","",IFERROR(VLOOKUP(M39,Settings!$A$8:$B$12,2,TRUE),""))</f>
        <v/>
      </c>
      <c r="O39" s="11">
        <f>IF(M39="","",IF(M39&lt;Settings!$B$5,"Needs support — see Indicator Analysis",""))</f>
        <v/>
      </c>
    </row>
    <row r="40">
      <c r="A40" s="6" t="n">
        <v>36</v>
      </c>
      <c r="B40" s="7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>
        <f>IF(COUNT(C40:J40)=0,"",(C40+D40+E40+F40+G40+H40+I40)/140*100)</f>
        <v/>
      </c>
      <c r="L40" s="9">
        <f>IF(COUNT(J40)=0,"",J40/100*100)</f>
        <v/>
      </c>
      <c r="M40" s="9">
        <f>IF(OR(COUNT(C40:J40)=0,J40=""),"",K40*Settings!$B$3/100+L40*Settings!$B$4/100)</f>
        <v/>
      </c>
      <c r="N40" s="10">
        <f>IF(M40="","",IFERROR(VLOOKUP(M40,Settings!$A$8:$B$12,2,TRUE),""))</f>
        <v/>
      </c>
      <c r="O40" s="11">
        <f>IF(M40="","",IF(M40&lt;Settings!$B$5,"Needs support — see Indicator Analysis",""))</f>
        <v/>
      </c>
    </row>
    <row r="41">
      <c r="A41" s="6" t="n">
        <v>37</v>
      </c>
      <c r="B41" s="7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>
        <f>IF(COUNT(C41:J41)=0,"",(C41+D41+E41+F41+G41+H41+I41)/140*100)</f>
        <v/>
      </c>
      <c r="L41" s="9">
        <f>IF(COUNT(J41)=0,"",J41/100*100)</f>
        <v/>
      </c>
      <c r="M41" s="9">
        <f>IF(OR(COUNT(C41:J41)=0,J41=""),"",K41*Settings!$B$3/100+L41*Settings!$B$4/100)</f>
        <v/>
      </c>
      <c r="N41" s="10">
        <f>IF(M41="","",IFERROR(VLOOKUP(M41,Settings!$A$8:$B$12,2,TRUE),""))</f>
        <v/>
      </c>
      <c r="O41" s="11">
        <f>IF(M41="","",IF(M41&lt;Settings!$B$5,"Needs support — see Indicator Analysis",""))</f>
        <v/>
      </c>
    </row>
    <row r="42">
      <c r="A42" s="6" t="n">
        <v>38</v>
      </c>
      <c r="B42" s="7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>
        <f>IF(COUNT(C42:J42)=0,"",(C42+D42+E42+F42+G42+H42+I42)/140*100)</f>
        <v/>
      </c>
      <c r="L42" s="9">
        <f>IF(COUNT(J42)=0,"",J42/100*100)</f>
        <v/>
      </c>
      <c r="M42" s="9">
        <f>IF(OR(COUNT(C42:J42)=0,J42=""),"",K42*Settings!$B$3/100+L42*Settings!$B$4/100)</f>
        <v/>
      </c>
      <c r="N42" s="10">
        <f>IF(M42="","",IFERROR(VLOOKUP(M42,Settings!$A$8:$B$12,2,TRUE),""))</f>
        <v/>
      </c>
      <c r="O42" s="11">
        <f>IF(M42="","",IF(M42&lt;Settings!$B$5,"Needs support — see Indicator Analysis",""))</f>
        <v/>
      </c>
    </row>
    <row r="43">
      <c r="A43" s="6" t="n">
        <v>39</v>
      </c>
      <c r="B43" s="7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>
        <f>IF(COUNT(C43:J43)=0,"",(C43+D43+E43+F43+G43+H43+I43)/140*100)</f>
        <v/>
      </c>
      <c r="L43" s="9">
        <f>IF(COUNT(J43)=0,"",J43/100*100)</f>
        <v/>
      </c>
      <c r="M43" s="9">
        <f>IF(OR(COUNT(C43:J43)=0,J43=""),"",K43*Settings!$B$3/100+L43*Settings!$B$4/100)</f>
        <v/>
      </c>
      <c r="N43" s="10">
        <f>IF(M43="","",IFERROR(VLOOKUP(M43,Settings!$A$8:$B$12,2,TRUE),""))</f>
        <v/>
      </c>
      <c r="O43" s="11">
        <f>IF(M43="","",IF(M43&lt;Settings!$B$5,"Needs support — see Indicator Analysis",""))</f>
        <v/>
      </c>
    </row>
    <row r="44">
      <c r="A44" s="6" t="n">
        <v>40</v>
      </c>
      <c r="B44" s="7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>
        <f>IF(COUNT(C44:J44)=0,"",(C44+D44+E44+F44+G44+H44+I44)/140*100)</f>
        <v/>
      </c>
      <c r="L44" s="9">
        <f>IF(COUNT(J44)=0,"",J44/100*100)</f>
        <v/>
      </c>
      <c r="M44" s="9">
        <f>IF(OR(COUNT(C44:J44)=0,J44=""),"",K44*Settings!$B$3/100+L44*Settings!$B$4/100)</f>
        <v/>
      </c>
      <c r="N44" s="10">
        <f>IF(M44="","",IFERROR(VLOOKUP(M44,Settings!$A$8:$B$12,2,TRUE),""))</f>
        <v/>
      </c>
      <c r="O44" s="11">
        <f>IF(M44="","",IF(M44&lt;Settings!$B$5,"Needs support — see Indicator Analysis",""))</f>
        <v/>
      </c>
    </row>
    <row r="45">
      <c r="A45" s="6" t="n">
        <v>41</v>
      </c>
      <c r="B45" s="7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>
        <f>IF(COUNT(C45:J45)=0,"",(C45+D45+E45+F45+G45+H45+I45)/140*100)</f>
        <v/>
      </c>
      <c r="L45" s="9">
        <f>IF(COUNT(J45)=0,"",J45/100*100)</f>
        <v/>
      </c>
      <c r="M45" s="9">
        <f>IF(OR(COUNT(C45:J45)=0,J45=""),"",K45*Settings!$B$3/100+L45*Settings!$B$4/100)</f>
        <v/>
      </c>
      <c r="N45" s="10">
        <f>IF(M45="","",IFERROR(VLOOKUP(M45,Settings!$A$8:$B$12,2,TRUE),""))</f>
        <v/>
      </c>
      <c r="O45" s="11">
        <f>IF(M45="","",IF(M45&lt;Settings!$B$5,"Needs support — see Indicator Analysis",""))</f>
        <v/>
      </c>
    </row>
    <row r="46">
      <c r="A46" s="6" t="n">
        <v>42</v>
      </c>
      <c r="B46" s="7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>
        <f>IF(COUNT(C46:J46)=0,"",(C46+D46+E46+F46+G46+H46+I46)/140*100)</f>
        <v/>
      </c>
      <c r="L46" s="9">
        <f>IF(COUNT(J46)=0,"",J46/100*100)</f>
        <v/>
      </c>
      <c r="M46" s="9">
        <f>IF(OR(COUNT(C46:J46)=0,J46=""),"",K46*Settings!$B$3/100+L46*Settings!$B$4/100)</f>
        <v/>
      </c>
      <c r="N46" s="10">
        <f>IF(M46="","",IFERROR(VLOOKUP(M46,Settings!$A$8:$B$12,2,TRUE),""))</f>
        <v/>
      </c>
      <c r="O46" s="11">
        <f>IF(M46="","",IF(M46&lt;Settings!$B$5,"Needs support — see Indicator Analysis",""))</f>
        <v/>
      </c>
    </row>
    <row r="47">
      <c r="A47" s="6" t="n">
        <v>43</v>
      </c>
      <c r="B47" s="7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>
        <f>IF(COUNT(C47:J47)=0,"",(C47+D47+E47+F47+G47+H47+I47)/140*100)</f>
        <v/>
      </c>
      <c r="L47" s="9">
        <f>IF(COUNT(J47)=0,"",J47/100*100)</f>
        <v/>
      </c>
      <c r="M47" s="9">
        <f>IF(OR(COUNT(C47:J47)=0,J47=""),"",K47*Settings!$B$3/100+L47*Settings!$B$4/100)</f>
        <v/>
      </c>
      <c r="N47" s="10">
        <f>IF(M47="","",IFERROR(VLOOKUP(M47,Settings!$A$8:$B$12,2,TRUE),""))</f>
        <v/>
      </c>
      <c r="O47" s="11">
        <f>IF(M47="","",IF(M47&lt;Settings!$B$5,"Needs support — see Indicator Analysis",""))</f>
        <v/>
      </c>
    </row>
    <row r="48">
      <c r="A48" s="6" t="n">
        <v>44</v>
      </c>
      <c r="B48" s="7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>
        <f>IF(COUNT(C48:J48)=0,"",(C48+D48+E48+F48+G48+H48+I48)/140*100)</f>
        <v/>
      </c>
      <c r="L48" s="9">
        <f>IF(COUNT(J48)=0,"",J48/100*100)</f>
        <v/>
      </c>
      <c r="M48" s="9">
        <f>IF(OR(COUNT(C48:J48)=0,J48=""),"",K48*Settings!$B$3/100+L48*Settings!$B$4/100)</f>
        <v/>
      </c>
      <c r="N48" s="10">
        <f>IF(M48="","",IFERROR(VLOOKUP(M48,Settings!$A$8:$B$12,2,TRUE),""))</f>
        <v/>
      </c>
      <c r="O48" s="11">
        <f>IF(M48="","",IF(M48&lt;Settings!$B$5,"Needs support — see Indicator Analysis",""))</f>
        <v/>
      </c>
    </row>
    <row r="49">
      <c r="A49" s="6" t="n">
        <v>45</v>
      </c>
      <c r="B49" s="7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>
        <f>IF(COUNT(C49:J49)=0,"",(C49+D49+E49+F49+G49+H49+I49)/140*100)</f>
        <v/>
      </c>
      <c r="L49" s="9">
        <f>IF(COUNT(J49)=0,"",J49/100*100)</f>
        <v/>
      </c>
      <c r="M49" s="9">
        <f>IF(OR(COUNT(C49:J49)=0,J49=""),"",K49*Settings!$B$3/100+L49*Settings!$B$4/100)</f>
        <v/>
      </c>
      <c r="N49" s="10">
        <f>IF(M49="","",IFERROR(VLOOKUP(M49,Settings!$A$8:$B$12,2,TRUE),""))</f>
        <v/>
      </c>
      <c r="O49" s="11">
        <f>IF(M49="","",IF(M49&lt;Settings!$B$5,"Needs support — see Indicator Analysis",""))</f>
        <v/>
      </c>
    </row>
    <row r="51">
      <c r="A51" s="12" t="inlineStr">
        <is>
          <t>CLASS SUMMARY</t>
        </is>
      </c>
    </row>
    <row r="52">
      <c r="A52" s="13" t="inlineStr">
        <is>
          <t>Learners entered</t>
        </is>
      </c>
      <c r="C52" s="14">
        <f>COUNT(M5:M49)</f>
        <v/>
      </c>
    </row>
    <row r="53">
      <c r="A53" s="13" t="inlineStr">
        <is>
          <t>Class average %</t>
        </is>
      </c>
      <c r="C53" s="15">
        <f>IFERROR(AVERAGE(M5:M49),"")</f>
        <v/>
      </c>
    </row>
    <row r="54">
      <c r="A54" s="13" t="inlineStr">
        <is>
          <t>Highest %</t>
        </is>
      </c>
      <c r="C54" s="15">
        <f>IFERROR(MAX(M5:M49),"")</f>
        <v/>
      </c>
    </row>
    <row r="55">
      <c r="A55" s="13" t="inlineStr">
        <is>
          <t>Lowest %</t>
        </is>
      </c>
      <c r="C55" s="15">
        <f>IFERROR(MIN(M5:M49),"")</f>
        <v/>
      </c>
    </row>
    <row r="56">
      <c r="A56" s="13" t="inlineStr">
        <is>
          <t>Learners at or above the pass mark</t>
        </is>
      </c>
      <c r="C56" s="14">
        <f>IFERROR(COUNTIF(M5:M49,"&gt;="&amp;Settings!$B$5),"")</f>
        <v/>
      </c>
    </row>
    <row r="57">
      <c r="A57" s="13" t="inlineStr">
        <is>
          <t>Pass rate %</t>
        </is>
      </c>
      <c r="C57" s="15">
        <f>IFERROR(COUNTIF(M5:M49,"&gt;="&amp;Settings!$B$5)/COUNT(M5:M49)*100,"")</f>
        <v/>
      </c>
    </row>
    <row r="58">
      <c r="A58" s="13" t="inlineStr">
        <is>
          <t>Learners below 40% (follow-up list)</t>
        </is>
      </c>
      <c r="C58" s="14">
        <f>IFERROR(COUNTIF(M5:M49,"&lt;40"),"")</f>
        <v/>
      </c>
    </row>
    <row r="60">
      <c r="A60" s="16" t="inlineStr">
        <is>
          <t>Average per assessment</t>
        </is>
      </c>
      <c r="C60" s="17">
        <f>IFERROR(AVERAGE(C5:C49),"")</f>
        <v/>
      </c>
      <c r="D60" s="17">
        <f>IFERROR(AVERAGE(D5:D49),"")</f>
        <v/>
      </c>
      <c r="E60" s="17">
        <f>IFERROR(AVERAGE(E5:E49),"")</f>
        <v/>
      </c>
      <c r="F60" s="17">
        <f>IFERROR(AVERAGE(F5:F49),"")</f>
        <v/>
      </c>
      <c r="G60" s="17">
        <f>IFERROR(AVERAGE(G5:G49),"")</f>
        <v/>
      </c>
      <c r="H60" s="17">
        <f>IFERROR(AVERAGE(H5:H49),"")</f>
        <v/>
      </c>
      <c r="I60" s="17">
        <f>IFERROR(AVERAGE(I5:I49),"")</f>
        <v/>
      </c>
      <c r="J60" s="17">
        <f>IFERROR(AVERAGE(J5:J49),"")</f>
        <v/>
      </c>
    </row>
    <row r="61">
      <c r="A61" s="16" t="inlineStr">
        <is>
          <t>Average as % of maximum</t>
        </is>
      </c>
      <c r="C61" s="18">
        <f>IFERROR(AVERAGE(C5:C49)/20*100,"")</f>
        <v/>
      </c>
      <c r="D61" s="18">
        <f>IFERROR(AVERAGE(D5:D49)/20*100,"")</f>
        <v/>
      </c>
      <c r="E61" s="18">
        <f>IFERROR(AVERAGE(E5:E49)/30*100,"")</f>
        <v/>
      </c>
      <c r="F61" s="18">
        <f>IFERROR(AVERAGE(F5:F49)/30*100,"")</f>
        <v/>
      </c>
      <c r="G61" s="18">
        <f>IFERROR(AVERAGE(G5:G49)/10*100,"")</f>
        <v/>
      </c>
      <c r="H61" s="18">
        <f>IFERROR(AVERAGE(H5:H49)/10*100,"")</f>
        <v/>
      </c>
      <c r="I61" s="18">
        <f>IFERROR(AVERAGE(I5:I49)/20*100,"")</f>
        <v/>
      </c>
      <c r="J61" s="18">
        <f>IFERROR(AVERAGE(J5:J49)/100*100,"")</f>
        <v/>
      </c>
    </row>
  </sheetData>
  <mergeCells count="11">
    <mergeCell ref="A54:B54"/>
    <mergeCell ref="A52:B52"/>
    <mergeCell ref="A57:B57"/>
    <mergeCell ref="A60:B60"/>
    <mergeCell ref="A58:B58"/>
    <mergeCell ref="A2:Q2"/>
    <mergeCell ref="A56:B56"/>
    <mergeCell ref="A61:B61"/>
    <mergeCell ref="A1:Q1"/>
    <mergeCell ref="A53:B53"/>
    <mergeCell ref="A55:B55"/>
  </mergeCells>
  <conditionalFormatting sqref="M5:M49">
    <cfRule type="cellIs" priority="1" operator="lessThan" dxfId="0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C5:J49">
    <cfRule type="colorScale" priority="4">
      <colorScale>
        <cfvo type="num" val="0"/>
        <cfvo type="percentile" val="50"/>
        <cfvo type="percentile" val="95"/>
        <color rgb="00F8CBCB"/>
        <color rgb="00FFF2CC"/>
        <color rgb="00D6EFD8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11" customWidth="1" min="3" max="3"/>
    <col width="10" customWidth="1" min="4" max="4"/>
    <col width="12" customWidth="1" min="5" max="5"/>
    <col width="12" customWidth="1" min="6" max="6"/>
    <col width="34" customWidth="1" min="7" max="7"/>
  </cols>
  <sheetData>
    <row r="1" ht="26" customHeight="1">
      <c r="A1" s="1" t="inlineStr">
        <is>
          <t>PER-INDICATOR ANALYSIS  —  which indicator is weakest?</t>
        </is>
      </c>
    </row>
    <row r="2" ht="30" customHeight="1">
      <c r="A2" s="19" t="inlineStr">
        <is>
          <t>After marking a unit test, enter the class mean score for each indicator in the cream column (from the test's marking scheme). The sheet flags the weakest indicator automatically — that is the one to re-teach first next term.</t>
        </is>
      </c>
    </row>
    <row r="4" ht="30" customHeight="1">
      <c r="A4" s="3" t="inlineStr">
        <is>
          <t>Indicator</t>
        </is>
      </c>
      <c r="B4" s="3" t="inlineStr">
        <is>
          <t>What learners should be able to do</t>
        </is>
      </c>
      <c r="C4" s="3" t="inlineStr">
        <is>
          <t>Assessed in</t>
        </is>
      </c>
      <c r="D4" s="3" t="inlineStr">
        <is>
          <t>Marks
for this
indicator</t>
        </is>
      </c>
      <c r="E4" s="3" t="inlineStr">
        <is>
          <t>Class mean
score</t>
        </is>
      </c>
      <c r="F4" s="3" t="inlineStr">
        <is>
          <t>Class mean
as %</t>
        </is>
      </c>
      <c r="G4" s="3" t="inlineStr">
        <is>
          <t>Action</t>
        </is>
      </c>
    </row>
    <row r="5">
      <c r="A5" s="20" t="inlineStr">
        <is>
          <t>B8.1.1.1.1</t>
        </is>
      </c>
      <c r="B5" s="21" t="inlineStr">
        <is>
          <t>Read and write in number quantities over 1,000,000,000.</t>
        </is>
      </c>
      <c r="C5" s="22" t="inlineStr">
        <is>
          <t>UT1</t>
        </is>
      </c>
      <c r="D5" s="23" t="n"/>
      <c r="E5" s="23" t="n"/>
      <c r="F5" s="24">
        <f>IF(OR(D5="",E5=""),"",E5/D5*100)</f>
        <v/>
      </c>
      <c r="G5" s="25">
        <f>IF(F5="","",IF(F5&lt;40,"RE-TEACH FIRST",IF(F5&lt;55,"Reteach briefly","Secure")))</f>
        <v/>
      </c>
    </row>
    <row r="6">
      <c r="A6" s="20" t="inlineStr">
        <is>
          <t>B8.1.1.1.2</t>
        </is>
      </c>
      <c r="B6" s="21" t="inlineStr">
        <is>
          <t>Skip count forwards and backwards in 10,000s, 100,000s, 500,000s.</t>
        </is>
      </c>
      <c r="C6" s="22" t="inlineStr">
        <is>
          <t>UT1</t>
        </is>
      </c>
      <c r="D6" s="23" t="n"/>
      <c r="E6" s="23" t="n"/>
      <c r="F6" s="24">
        <f>IF(OR(D6="",E6=""),"",E6/D6*100)</f>
        <v/>
      </c>
      <c r="G6" s="25">
        <f>IF(F6="","",IF(F6&lt;40,"RE-TEACH FIRST",IF(F6&lt;55,"Reteach briefly","Secure")))</f>
        <v/>
      </c>
    </row>
    <row r="7">
      <c r="A7" s="20" t="inlineStr">
        <is>
          <t>B8.1.1.1.3</t>
        </is>
      </c>
      <c r="B7" s="21" t="inlineStr">
        <is>
          <t>Compare and order whole numbers using &gt;, &lt; and =.</t>
        </is>
      </c>
      <c r="C7" s="22" t="inlineStr">
        <is>
          <t>UT1</t>
        </is>
      </c>
      <c r="D7" s="23" t="n"/>
      <c r="E7" s="23" t="n"/>
      <c r="F7" s="24">
        <f>IF(OR(D7="",E7=""),"",E7/D7*100)</f>
        <v/>
      </c>
      <c r="G7" s="25">
        <f>IF(F7="","",IF(F7&lt;40,"RE-TEACH FIRST",IF(F7&lt;55,"Reteach briefly","Secure")))</f>
        <v/>
      </c>
    </row>
    <row r="8">
      <c r="A8" s="20" t="inlineStr">
        <is>
          <t>B8.1.1.1.4</t>
        </is>
      </c>
      <c r="B8" s="21" t="inlineStr">
        <is>
          <t>Express integers of any size in standard form.</t>
        </is>
      </c>
      <c r="C8" s="22" t="inlineStr">
        <is>
          <t>UT1</t>
        </is>
      </c>
      <c r="D8" s="23" t="n"/>
      <c r="E8" s="23" t="n"/>
      <c r="F8" s="24">
        <f>IF(OR(D8="",E8=""),"",E8/D8*100)</f>
        <v/>
      </c>
      <c r="G8" s="25">
        <f>IF(F8="","",IF(F8&lt;40,"RE-TEACH FIRST",IF(F8&lt;55,"Reteach briefly","Secure")))</f>
        <v/>
      </c>
    </row>
    <row r="9">
      <c r="A9" s="20" t="inlineStr">
        <is>
          <t>B8.1.1.1.5</t>
        </is>
      </c>
      <c r="B9" s="21" t="inlineStr">
        <is>
          <t>Express integers to a given number of significant and decimal places.</t>
        </is>
      </c>
      <c r="C9" s="22" t="inlineStr">
        <is>
          <t>UT1</t>
        </is>
      </c>
      <c r="D9" s="23" t="n"/>
      <c r="E9" s="23" t="n"/>
      <c r="F9" s="24">
        <f>IF(OR(D9="",E9=""),"",E9/D9*100)</f>
        <v/>
      </c>
      <c r="G9" s="25">
        <f>IF(F9="","",IF(F9&lt;40,"RE-TEACH FIRST",IF(F9&lt;55,"Reteach briefly","Secure")))</f>
        <v/>
      </c>
    </row>
    <row r="10">
      <c r="A10" s="20" t="inlineStr">
        <is>
          <t>B8.1.1.1.6</t>
        </is>
      </c>
      <c r="B10" s="21" t="inlineStr">
        <is>
          <t>Create and solve word or real-life problems on place values.</t>
        </is>
      </c>
      <c r="C10" s="22" t="inlineStr">
        <is>
          <t>UT1</t>
        </is>
      </c>
      <c r="D10" s="23" t="n"/>
      <c r="E10" s="23" t="n"/>
      <c r="F10" s="24">
        <f>IF(OR(D10="",E10=""),"",E10/D10*100)</f>
        <v/>
      </c>
      <c r="G10" s="25">
        <f>IF(F10="","",IF(F10&lt;40,"RE-TEACH FIRST",IF(F10&lt;55,"Reteach briefly","Secure")))</f>
        <v/>
      </c>
    </row>
    <row r="11">
      <c r="A11" s="20" t="inlineStr">
        <is>
          <t>B8.1.1.2.1</t>
        </is>
      </c>
      <c r="B11" s="21" t="inlineStr">
        <is>
          <t>Identify perfect squares and determine their square roots using sets of factors.</t>
        </is>
      </c>
      <c r="C11" s="22" t="inlineStr">
        <is>
          <t>UT2</t>
        </is>
      </c>
      <c r="D11" s="23" t="n"/>
      <c r="E11" s="23" t="n"/>
      <c r="F11" s="24">
        <f>IF(OR(D11="",E11=""),"",E11/D11*100)</f>
        <v/>
      </c>
      <c r="G11" s="25">
        <f>IF(F11="","",IF(F11&lt;40,"RE-TEACH FIRST",IF(F11&lt;55,"Reteach briefly","Secure")))</f>
        <v/>
      </c>
    </row>
    <row r="12">
      <c r="A12" s="20" t="inlineStr">
        <is>
          <t>B8.1.1.2.2</t>
        </is>
      </c>
      <c r="B12" s="21" t="inlineStr">
        <is>
          <t>Solve real-life problems involving union and intersection of sets.</t>
        </is>
      </c>
      <c r="C12" s="22" t="inlineStr">
        <is>
          <t>UT2</t>
        </is>
      </c>
      <c r="D12" s="23" t="n"/>
      <c r="E12" s="23" t="n"/>
      <c r="F12" s="24">
        <f>IF(OR(D12="",E12=""),"",E12/D12*100)</f>
        <v/>
      </c>
      <c r="G12" s="25">
        <f>IF(F12="","",IF(F12&lt;40,"RE-TEACH FIRST",IF(F12&lt;55,"Reteach briefly","Secure")))</f>
        <v/>
      </c>
    </row>
    <row r="13">
      <c r="A13" s="20" t="inlineStr">
        <is>
          <t>B8.1.2.1.1</t>
        </is>
      </c>
      <c r="B13" s="21" t="inlineStr">
        <is>
          <t>Multiply and divide by powers of 10, including decimals and benchmark fractions.</t>
        </is>
      </c>
      <c r="C13" s="22" t="inlineStr">
        <is>
          <t>UT2</t>
        </is>
      </c>
      <c r="D13" s="23" t="n"/>
      <c r="E13" s="23" t="n"/>
      <c r="F13" s="24">
        <f>IF(OR(D13="",E13=""),"",E13/D13*100)</f>
        <v/>
      </c>
      <c r="G13" s="25">
        <f>IF(F13="","",IF(F13&lt;40,"RE-TEACH FIRST",IF(F13&lt;55,"Reteach briefly","Secure")))</f>
        <v/>
      </c>
    </row>
    <row r="14">
      <c r="A14" s="20" t="inlineStr">
        <is>
          <t>B8.1.2.1.2</t>
        </is>
      </c>
      <c r="B14" s="21" t="inlineStr">
        <is>
          <t>Apply mental mathematics strategies and number properties to calculate.</t>
        </is>
      </c>
      <c r="C14" s="22" t="inlineStr">
        <is>
          <t>UT2</t>
        </is>
      </c>
      <c r="D14" s="23" t="n"/>
      <c r="E14" s="23" t="n"/>
      <c r="F14" s="24">
        <f>IF(OR(D14="",E14=""),"",E14/D14*100)</f>
        <v/>
      </c>
      <c r="G14" s="25">
        <f>IF(F14="","",IF(F14&lt;40,"RE-TEACH FIRST",IF(F14&lt;55,"Reteach briefly","Secure")))</f>
        <v/>
      </c>
    </row>
    <row r="15">
      <c r="A15" s="20" t="inlineStr">
        <is>
          <t>B8.1.2.1.3</t>
        </is>
      </c>
      <c r="B15" s="21" t="inlineStr">
        <is>
          <t>Apply mental mathematics strategies to solve word problems.</t>
        </is>
      </c>
      <c r="C15" s="22" t="inlineStr">
        <is>
          <t>UT2</t>
        </is>
      </c>
      <c r="D15" s="23" t="n"/>
      <c r="E15" s="23" t="n"/>
      <c r="F15" s="24">
        <f>IF(OR(D15="",E15=""),"",E15/D15*100)</f>
        <v/>
      </c>
      <c r="G15" s="25">
        <f>IF(F15="","",IF(F15&lt;40,"RE-TEACH FIRST",IF(F15&lt;55,"Reteach briefly","Secure")))</f>
        <v/>
      </c>
    </row>
    <row r="16">
      <c r="A16" s="20" t="inlineStr">
        <is>
          <t>B8.1.2.2.1</t>
        </is>
      </c>
      <c r="B16" s="21" t="inlineStr">
        <is>
          <t>Add and subtract more than four-digit numbers.</t>
        </is>
      </c>
      <c r="C16" s="22" t="inlineStr">
        <is>
          <t>UT2</t>
        </is>
      </c>
      <c r="D16" s="23" t="n"/>
      <c r="E16" s="23" t="n"/>
      <c r="F16" s="24">
        <f>IF(OR(D16="",E16=""),"",E16/D16*100)</f>
        <v/>
      </c>
      <c r="G16" s="25">
        <f>IF(F16="","",IF(F16&lt;40,"RE-TEACH FIRST",IF(F16&lt;55,"Reteach briefly","Secure")))</f>
        <v/>
      </c>
    </row>
    <row r="17">
      <c r="A17" s="20" t="inlineStr">
        <is>
          <t>B8.1.2.2.2</t>
        </is>
      </c>
      <c r="B17" s="21" t="inlineStr">
        <is>
          <t>Multiply or divide multi-digit numbers by 2- and 3-digit numbers.</t>
        </is>
      </c>
      <c r="C17" s="22" t="inlineStr">
        <is>
          <t>UT2</t>
        </is>
      </c>
      <c r="D17" s="23" t="n"/>
      <c r="E17" s="23" t="n"/>
      <c r="F17" s="24">
        <f>IF(OR(D17="",E17=""),"",E17/D17*100)</f>
        <v/>
      </c>
      <c r="G17" s="25">
        <f>IF(F17="","",IF(F17&lt;40,"RE-TEACH FIRST",IF(F17&lt;55,"Reteach briefly","Secure")))</f>
        <v/>
      </c>
    </row>
    <row r="18">
      <c r="A18" s="20" t="inlineStr">
        <is>
          <t>B8.1.2.2.3</t>
        </is>
      </c>
      <c r="B18" s="21" t="inlineStr">
        <is>
          <t>Create and solve story problems involving decimals on the four operations.</t>
        </is>
      </c>
      <c r="C18" s="22" t="inlineStr">
        <is>
          <t>UT2</t>
        </is>
      </c>
      <c r="D18" s="23" t="n"/>
      <c r="E18" s="23" t="n"/>
      <c r="F18" s="24">
        <f>IF(OR(D18="",E18=""),"",E18/D18*100)</f>
        <v/>
      </c>
      <c r="G18" s="25">
        <f>IF(F18="","",IF(F18&lt;40,"RE-TEACH FIRST",IF(F18&lt;55,"Reteach briefly","Secure")))</f>
        <v/>
      </c>
    </row>
    <row r="19">
      <c r="A19" s="20" t="inlineStr">
        <is>
          <t>B8.1.2.3.1</t>
        </is>
      </c>
      <c r="B19" s="21" t="inlineStr">
        <is>
          <t>Identify and explain the laws of indices.</t>
        </is>
      </c>
      <c r="C19" s="22" t="inlineStr">
        <is>
          <t>UT3</t>
        </is>
      </c>
      <c r="D19" s="23" t="n"/>
      <c r="E19" s="23" t="n"/>
      <c r="F19" s="24">
        <f>IF(OR(D19="",E19=""),"",E19/D19*100)</f>
        <v/>
      </c>
      <c r="G19" s="25">
        <f>IF(F19="","",IF(F19&lt;40,"RE-TEACH FIRST",IF(F19&lt;55,"Reteach briefly","Secure")))</f>
        <v/>
      </c>
    </row>
    <row r="20">
      <c r="A20" s="20" t="inlineStr">
        <is>
          <t>B8.1.2.3.2</t>
        </is>
      </c>
      <c r="B20" s="21" t="inlineStr">
        <is>
          <t>Apply the laws of indices to simplify and evaluate (order of operations).</t>
        </is>
      </c>
      <c r="C20" s="22" t="inlineStr">
        <is>
          <t>UT3</t>
        </is>
      </c>
      <c r="D20" s="23" t="n"/>
      <c r="E20" s="23" t="n"/>
      <c r="F20" s="24">
        <f>IF(OR(D20="",E20=""),"",E20/D20*100)</f>
        <v/>
      </c>
      <c r="G20" s="25">
        <f>IF(F20="","",IF(F20&lt;40,"RE-TEACH FIRST",IF(F20&lt;55,"Reteach briefly","Secure")))</f>
        <v/>
      </c>
    </row>
    <row r="21">
      <c r="A21" s="20" t="inlineStr">
        <is>
          <t>B8.1.2.3.3</t>
        </is>
      </c>
      <c r="B21" s="21" t="inlineStr">
        <is>
          <t>Solve exponential equations.</t>
        </is>
      </c>
      <c r="C21" s="22" t="inlineStr">
        <is>
          <t>UT3</t>
        </is>
      </c>
      <c r="D21" s="23" t="n"/>
      <c r="E21" s="23" t="n"/>
      <c r="F21" s="24">
        <f>IF(OR(D21="",E21=""),"",E21/D21*100)</f>
        <v/>
      </c>
      <c r="G21" s="25">
        <f>IF(F21="","",IF(F21&lt;40,"RE-TEACH FIRST",IF(F21&lt;55,"Reteach briefly","Secure")))</f>
        <v/>
      </c>
    </row>
    <row r="22">
      <c r="A22" s="20" t="inlineStr">
        <is>
          <t>B8.1.2.3.4</t>
        </is>
      </c>
      <c r="B22" s="21" t="inlineStr">
        <is>
          <t>Solve real-life problems involving powers of natural numbers.</t>
        </is>
      </c>
      <c r="C22" s="22" t="inlineStr">
        <is>
          <t>UT3</t>
        </is>
      </c>
      <c r="D22" s="23" t="n"/>
      <c r="E22" s="23" t="n"/>
      <c r="F22" s="24">
        <f>IF(OR(D22="",E22=""),"",E22/D22*100)</f>
        <v/>
      </c>
      <c r="G22" s="25">
        <f>IF(F22="","",IF(F22&lt;40,"RE-TEACH FIRST",IF(F22&lt;55,"Reteach briefly","Secure")))</f>
        <v/>
      </c>
    </row>
    <row r="23">
      <c r="A23" s="20" t="inlineStr">
        <is>
          <t>B8.2.1.1.1</t>
        </is>
      </c>
      <c r="B23" s="21" t="inlineStr">
        <is>
          <t>Calculate the gradient of a line and write its equation as y = mx + c.</t>
        </is>
      </c>
      <c r="C23" s="22" t="inlineStr">
        <is>
          <t>UT4</t>
        </is>
      </c>
      <c r="D23" s="23" t="n"/>
      <c r="E23" s="23" t="n"/>
      <c r="F23" s="24">
        <f>IF(OR(D23="",E23=""),"",E23/D23*100)</f>
        <v/>
      </c>
      <c r="G23" s="25">
        <f>IF(F23="","",IF(F23&lt;40,"RE-TEACH FIRST",IF(F23&lt;55,"Reteach briefly","Secure")))</f>
        <v/>
      </c>
    </row>
    <row r="24">
      <c r="A24" s="20" t="inlineStr">
        <is>
          <t>B8.2.1.1.2</t>
        </is>
      </c>
      <c r="B24" s="21" t="inlineStr">
        <is>
          <t>Use the graph of a linear relation to find missing ordered pairs.</t>
        </is>
      </c>
      <c r="C24" s="22" t="inlineStr">
        <is>
          <t>UT4</t>
        </is>
      </c>
      <c r="D24" s="23" t="n"/>
      <c r="E24" s="23" t="n"/>
      <c r="F24" s="24">
        <f>IF(OR(D24="",E24=""),"",E24/D24*100)</f>
        <v/>
      </c>
      <c r="G24" s="25">
        <f>IF(F24="","",IF(F24&lt;40,"RE-TEACH FIRST",IF(F24&lt;55,"Reteach briefly","Secure")))</f>
        <v/>
      </c>
    </row>
    <row r="25">
      <c r="A25" s="20" t="inlineStr">
        <is>
          <t>B8.2.1.1.3</t>
        </is>
      </c>
      <c r="B25" s="21" t="inlineStr">
        <is>
          <t>Use graphs of linear relations to solve real-life problems.</t>
        </is>
      </c>
      <c r="C25" s="22" t="inlineStr">
        <is>
          <t>UT4</t>
        </is>
      </c>
      <c r="D25" s="23" t="n"/>
      <c r="E25" s="23" t="n"/>
      <c r="F25" s="24">
        <f>IF(OR(D25="",E25=""),"",E25/D25*100)</f>
        <v/>
      </c>
      <c r="G25" s="25">
        <f>IF(F25="","",IF(F25&lt;40,"RE-TEACH FIRST",IF(F25&lt;55,"Reteach briefly","Secure")))</f>
        <v/>
      </c>
    </row>
    <row r="27">
      <c r="A27" s="12" t="inlineStr">
        <is>
          <t>Weakest indicator (lowest class mean):</t>
        </is>
      </c>
      <c r="D27" s="26">
        <f>IFERROR(INDEX(A5:A25,MATCH(MIN(F5:F25),F5:F25,0)),"enter scores first")</f>
        <v/>
      </c>
    </row>
  </sheetData>
  <mergeCells count="4">
    <mergeCell ref="D27:G27"/>
    <mergeCell ref="A27:C27"/>
    <mergeCell ref="A2:G2"/>
    <mergeCell ref="A1:G1"/>
  </mergeCells>
  <conditionalFormatting sqref="F5:F25">
    <cfRule type="cellIs" priority="1" operator="lessThan" dxfId="3">
      <formula>40</formula>
    </cfRule>
    <cfRule type="cellIs" priority="2" operator="between" dxfId="1">
      <formula>40</formula>
      <formula>54.999</formula>
    </cfRule>
    <cfRule type="cellIs" priority="3" operator="greaterThanOrEqual" dxfId="2">
      <formula>75</formula>
    </cfRule>
  </conditionalFormatting>
  <conditionalFormatting sqref="G5:G25">
    <cfRule type="cellIs" priority="4" operator="equal" dxfId="4">
      <formula>"RE-TEACH FIRST"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6" customWidth="1" min="4" max="4"/>
  </cols>
  <sheetData>
    <row r="1" ht="26" customHeight="1">
      <c r="A1" s="1" t="inlineStr">
        <is>
          <t>GRADE DISTRIBUTION</t>
        </is>
      </c>
    </row>
    <row r="2">
      <c r="A2" s="2" t="inlineStr">
        <is>
          <t>Counts update automatically from the Class Record sheet.</t>
        </is>
      </c>
    </row>
    <row r="4" ht="30" customHeight="1">
      <c r="A4" s="3" t="inlineStr">
        <is>
          <t>Band</t>
        </is>
      </c>
      <c r="B4" s="3" t="inlineStr">
        <is>
          <t>Range</t>
        </is>
      </c>
      <c r="C4" s="3" t="inlineStr">
        <is>
          <t>Number of learners</t>
        </is>
      </c>
      <c r="D4" s="3" t="inlineStr">
        <is>
          <t>% of class</t>
        </is>
      </c>
    </row>
    <row r="5">
      <c r="A5" s="27" t="inlineStr">
        <is>
          <t>Distinction</t>
        </is>
      </c>
      <c r="B5" s="22" t="inlineStr">
        <is>
          <t>80 – 100</t>
        </is>
      </c>
      <c r="C5" s="28">
        <f>COUNTIFS('Class Record'!$M$5:$M$49,"&gt;="&amp;80,'Class Record'!$M$5:$M$49,"&lt;="&amp;100)</f>
        <v/>
      </c>
      <c r="D5" s="29">
        <f>IFERROR(C5/SUM($C$5:$C$9)*100,"")</f>
        <v/>
      </c>
    </row>
    <row r="6">
      <c r="A6" s="27" t="inlineStr">
        <is>
          <t>Credit</t>
        </is>
      </c>
      <c r="B6" s="22" t="inlineStr">
        <is>
          <t>65 – 79</t>
        </is>
      </c>
      <c r="C6" s="28">
        <f>COUNTIFS('Class Record'!$M$5:$M$49,"&gt;="&amp;65,'Class Record'!$M$5:$M$49,"&lt;="&amp;79.999)</f>
        <v/>
      </c>
      <c r="D6" s="29">
        <f>IFERROR(C6/SUM($C$5:$C$9)*100,"")</f>
        <v/>
      </c>
    </row>
    <row r="7">
      <c r="A7" s="27" t="inlineStr">
        <is>
          <t>Pass</t>
        </is>
      </c>
      <c r="B7" s="22" t="inlineStr">
        <is>
          <t>50 – 64</t>
        </is>
      </c>
      <c r="C7" s="28">
        <f>COUNTIFS('Class Record'!$M$5:$M$49,"&gt;="&amp;50,'Class Record'!$M$5:$M$49,"&lt;="&amp;64.999)</f>
        <v/>
      </c>
      <c r="D7" s="29">
        <f>IFERROR(C7/SUM($C$5:$C$9)*100,"")</f>
        <v/>
      </c>
    </row>
    <row r="8">
      <c r="A8" s="27" t="inlineStr">
        <is>
          <t>Below pass</t>
        </is>
      </c>
      <c r="B8" s="22" t="inlineStr">
        <is>
          <t>40 – 49</t>
        </is>
      </c>
      <c r="C8" s="28">
        <f>COUNTIFS('Class Record'!$M$5:$M$49,"&gt;="&amp;40,'Class Record'!$M$5:$M$49,"&lt;="&amp;49.999)</f>
        <v/>
      </c>
      <c r="D8" s="29">
        <f>IFERROR(C8/SUM($C$5:$C$9)*100,"")</f>
        <v/>
      </c>
    </row>
    <row r="9">
      <c r="A9" s="27" t="inlineStr">
        <is>
          <t>Needs urgent support</t>
        </is>
      </c>
      <c r="B9" s="22" t="inlineStr">
        <is>
          <t>0 – 39</t>
        </is>
      </c>
      <c r="C9" s="28">
        <f>COUNTIFS('Class Record'!$M$5:$M$49,"&gt;="&amp;0,'Class Record'!$M$5:$M$49,"&lt;="&amp;39.999)</f>
        <v/>
      </c>
      <c r="D9" s="29">
        <f>IFERROR(C9/SUM($C$5:$C$9)*100,"")</f>
        <v/>
      </c>
    </row>
    <row r="11">
      <c r="A11" s="30" t="inlineStr">
        <is>
          <t>Chart — right-click the chart and choose Refresh if it does not update.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2" customWidth="1" min="3" max="3"/>
  </cols>
  <sheetData>
    <row r="1" ht="26" customHeight="1">
      <c r="A1" s="1" t="inlineStr">
        <is>
          <t>SETTINGS  —  change these and every sheet updates</t>
        </is>
      </c>
    </row>
    <row r="3">
      <c r="A3" s="31" t="inlineStr">
        <is>
          <t>Classwork weighting (%)</t>
        </is>
      </c>
      <c r="B3" s="32" t="n">
        <v>50</v>
      </c>
      <c r="C3" s="2" t="inlineStr">
        <is>
          <t>Unit tests, rubrics, practical work and investigations.</t>
        </is>
      </c>
    </row>
    <row r="4">
      <c r="A4" s="31" t="inlineStr">
        <is>
          <t>Examination weighting (%)</t>
        </is>
      </c>
      <c r="B4" s="32" t="n">
        <v>50</v>
      </c>
      <c r="C4" s="2" t="inlineStr">
        <is>
          <t>End-of-term examination.</t>
        </is>
      </c>
    </row>
    <row r="5">
      <c r="A5" s="31" t="inlineStr">
        <is>
          <t>Pass mark (%)</t>
        </is>
      </c>
      <c r="B5" s="32" t="n">
        <v>50</v>
      </c>
      <c r="C5" s="2" t="inlineStr">
        <is>
          <t>Used for the pass-rate summary and the Comments column.</t>
        </is>
      </c>
    </row>
    <row r="7" ht="30" customHeight="1">
      <c r="A7" s="3" t="inlineStr">
        <is>
          <t>Lower bound (%)</t>
        </is>
      </c>
      <c r="B7" s="3" t="inlineStr">
        <is>
          <t>Grade</t>
        </is>
      </c>
    </row>
    <row r="8">
      <c r="A8" s="33" t="n">
        <v>0</v>
      </c>
      <c r="B8" s="33" t="inlineStr">
        <is>
          <t>Needs urgent support</t>
        </is>
      </c>
    </row>
    <row r="9">
      <c r="A9" s="33" t="n">
        <v>40</v>
      </c>
      <c r="B9" s="33" t="inlineStr">
        <is>
          <t>Below pass</t>
        </is>
      </c>
    </row>
    <row r="10">
      <c r="A10" s="33" t="n">
        <v>50</v>
      </c>
      <c r="B10" s="33" t="inlineStr">
        <is>
          <t>Pass</t>
        </is>
      </c>
    </row>
    <row r="11">
      <c r="A11" s="33" t="n">
        <v>65</v>
      </c>
      <c r="B11" s="33" t="inlineStr">
        <is>
          <t>Credit</t>
        </is>
      </c>
    </row>
    <row r="12">
      <c r="A12" s="33" t="n">
        <v>80</v>
      </c>
      <c r="B12" s="33" t="inlineStr">
        <is>
          <t>Distinction</t>
        </is>
      </c>
    </row>
    <row r="14">
      <c r="A14" s="2" t="inlineStr">
        <is>
          <t>The grade lookup uses the table above, so you can change the boundaries to match your school. Keep the lower bounds in ascending order.</t>
        </is>
      </c>
    </row>
    <row r="16">
      <c r="A16" s="12" t="inlineStr">
        <is>
          <t>Assessment maxima (do not change unless you re-scale a test)</t>
        </is>
      </c>
    </row>
    <row r="17" ht="30" customHeight="1">
      <c r="A17" s="3" t="inlineStr">
        <is>
          <t>Code</t>
        </is>
      </c>
      <c r="B17" s="3" t="inlineStr">
        <is>
          <t>Max</t>
        </is>
      </c>
      <c r="C17" s="3" t="inlineStr">
        <is>
          <t>What it is</t>
        </is>
      </c>
    </row>
    <row r="18">
      <c r="A18" s="34" t="inlineStr">
        <is>
          <t>UT1</t>
        </is>
      </c>
      <c r="B18" s="35" t="n">
        <v>20</v>
      </c>
      <c r="C18" s="36" t="inlineStr">
        <is>
          <t>Unit Test 1 — Place value, standard form and rounding</t>
        </is>
      </c>
    </row>
    <row r="19">
      <c r="A19" s="34" t="inlineStr">
        <is>
          <t>UT2</t>
        </is>
      </c>
      <c r="B19" s="35" t="n">
        <v>20</v>
      </c>
      <c r="C19" s="36" t="inlineStr">
        <is>
          <t>Unit Test 2 — Sets, mental strategies and the four operations</t>
        </is>
      </c>
    </row>
    <row r="20">
      <c r="A20" s="34" t="inlineStr">
        <is>
          <t>UT3</t>
        </is>
      </c>
      <c r="B20" s="35" t="n">
        <v>30</v>
      </c>
      <c r="C20" s="36" t="inlineStr">
        <is>
          <t>Unit Test 3 — Indices, powers and exponential equations</t>
        </is>
      </c>
    </row>
    <row r="21">
      <c r="A21" s="34" t="inlineStr">
        <is>
          <t>UT4</t>
        </is>
      </c>
      <c r="B21" s="35" t="n">
        <v>30</v>
      </c>
      <c r="C21" s="36" t="inlineStr">
        <is>
          <t>Unit Test 4 — Linear relations, gradient and real-life graphs</t>
        </is>
      </c>
    </row>
    <row r="22">
      <c r="A22" s="34" t="inlineStr">
        <is>
          <t>R1</t>
        </is>
      </c>
      <c r="B22" s="35" t="n">
        <v>10</v>
      </c>
      <c r="C22" s="36" t="inlineStr">
        <is>
          <t>Rubric — oral contribution and mathematical explanation</t>
        </is>
      </c>
    </row>
    <row r="23">
      <c r="A23" s="34" t="inlineStr">
        <is>
          <t>R2</t>
        </is>
      </c>
      <c r="B23" s="35" t="n">
        <v>10</v>
      </c>
      <c r="C23" s="36" t="inlineStr">
        <is>
          <t>Rubric — strategy wall display or problem bank</t>
        </is>
      </c>
    </row>
    <row r="24">
      <c r="A24" s="34" t="inlineStr">
        <is>
          <t>R3</t>
        </is>
      </c>
      <c r="B24" s="35" t="n">
        <v>20</v>
      </c>
      <c r="C24" s="36" t="inlineStr">
        <is>
          <t>Rubric — investigation report (growth model or linear graph project)</t>
        </is>
      </c>
    </row>
    <row r="25">
      <c r="A25" s="34" t="inlineStr">
        <is>
          <t>Exam</t>
        </is>
      </c>
      <c r="B25" s="35" t="n">
        <v>100</v>
      </c>
      <c r="C25" s="36" t="inlineStr">
        <is>
          <t>End-of-term examination</t>
        </is>
      </c>
    </row>
  </sheetData>
  <mergeCells count="2">
    <mergeCell ref="A14:C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2026-09-23T22:21:12Z</dcterms:created>
  <dcterms:modified xmlns:dcterms="http://purl.org/dc/terms/" xmlns:xsi="http://www.w3.org/2001/XMLSchema-instance" xsi:type="dcterms:W3CDTF">2026-09-23T22:21:12Z</dcterms:modified>
</cp:coreProperties>
</file>