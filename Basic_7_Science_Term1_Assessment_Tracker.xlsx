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Record" sheetId="1" state="visible" r:id="rId1"/>
    <sheet xmlns:r="http://schemas.openxmlformats.org/officeDocument/2006/relationships" name="Indicator Analysis" sheetId="2" state="visible" r:id="rId2"/>
    <sheet xmlns:r="http://schemas.openxmlformats.org/officeDocument/2006/relationships" name="Distribution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A5A5A"/>
      <sz val="9"/>
    </font>
    <font>
      <b val="1"/>
      <color rgb="00143A5E"/>
      <sz val="9"/>
    </font>
    <font>
      <b val="1"/>
      <color rgb="00FFFFFF"/>
      <sz val="9"/>
    </font>
    <font>
      <b val="1"/>
      <sz val="9"/>
    </font>
    <font>
      <sz val="9"/>
    </font>
    <font>
      <b val="1"/>
      <color rgb="00143A5E"/>
      <sz val="10"/>
    </font>
    <font>
      <i val="1"/>
      <sz val="9"/>
    </font>
    <font>
      <b val="1"/>
      <color rgb="008B1A1A"/>
      <sz val="11"/>
    </font>
    <font>
      <b val="1"/>
      <sz val="10"/>
    </font>
    <font>
      <i val="1"/>
      <color rgb="005A5A5A"/>
      <sz val="8"/>
    </font>
  </fonts>
  <fills count="7">
    <fill>
      <patternFill/>
    </fill>
    <fill>
      <patternFill patternType="gray125"/>
    </fill>
    <fill>
      <patternFill patternType="solid">
        <fgColor rgb="00143A5E"/>
      </patternFill>
    </fill>
    <fill>
      <patternFill patternType="solid">
        <fgColor rgb="00E4EDF7"/>
      </patternFill>
    </fill>
    <fill>
      <patternFill patternType="solid">
        <fgColor rgb="000D7D8A"/>
      </patternFill>
    </fill>
    <fill>
      <patternFill patternType="solid">
        <fgColor rgb="00FFFDF0"/>
      </patternFill>
    </fill>
    <fill>
      <patternFill patternType="solid">
        <fgColor rgb="00EDF3F8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5" borderId="1" applyAlignment="1" pivotButton="0" quotePrefix="0" xfId="0">
      <alignment horizontal="left" indent="1"/>
    </xf>
    <xf numFmtId="0" fontId="6" fillId="5" borderId="1" applyAlignment="1" pivotButton="0" quotePrefix="0" xfId="0">
      <alignment horizontal="center" indent="1"/>
    </xf>
    <xf numFmtId="164" fontId="6" fillId="6" borderId="1" applyAlignment="1" pivotButton="0" quotePrefix="0" xfId="0">
      <alignment horizontal="center" indent="1"/>
    </xf>
    <xf numFmtId="0" fontId="6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 indent="1"/>
    </xf>
    <xf numFmtId="0" fontId="7" fillId="0" borderId="0" pivotButton="0" quotePrefix="0" xfId="0"/>
    <xf numFmtId="0" fontId="5" fillId="0" borderId="0" pivotButton="0" quotePrefix="0" xfId="0"/>
    <xf numFmtId="1" fontId="6" fillId="6" borderId="1" applyAlignment="1" pivotButton="0" quotePrefix="0" xfId="0">
      <alignment horizontal="center"/>
    </xf>
    <xf numFmtId="164" fontId="6" fillId="6" borderId="1" applyAlignment="1" pivotButton="0" quotePrefix="0" xfId="0">
      <alignment horizontal="center"/>
    </xf>
    <xf numFmtId="0" fontId="3" fillId="0" borderId="0" pivotButton="0" quotePrefix="0" xfId="0"/>
    <xf numFmtId="164" fontId="5" fillId="6" borderId="1" applyAlignment="1" pivotButton="0" quotePrefix="0" xfId="0">
      <alignment horizontal="center"/>
    </xf>
    <xf numFmtId="164" fontId="8" fillId="6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3" fillId="0" borderId="1" pivotButton="0" quotePrefix="0" xfId="0"/>
    <xf numFmtId="0" fontId="6" fillId="0" borderId="1" applyAlignment="1" pivotButton="0" quotePrefix="0" xfId="0">
      <alignment indent="1"/>
    </xf>
    <xf numFmtId="0" fontId="6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9" fillId="0" borderId="0" pivotButton="0" quotePrefix="0" xfId="0"/>
    <xf numFmtId="0" fontId="10" fillId="0" borderId="1" pivotButton="0" quotePrefix="0" xfId="0"/>
    <xf numFmtId="1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11" fillId="0" borderId="0" pivotButton="0" quotePrefix="0" xfId="0"/>
    <xf numFmtId="0" fontId="10" fillId="0" borderId="0" pivotButton="0" quotePrefix="0" xfId="0"/>
    <xf numFmtId="0" fontId="10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dxfs count="5">
    <dxf>
      <font>
        <color rgb="008B1A1A"/>
      </font>
      <fill>
        <patternFill patternType="solid">
          <fgColor rgb="00F8CBCB"/>
        </patternFill>
      </fill>
    </dxf>
    <dxf>
      <fill>
        <patternFill patternType="solid">
          <fgColor rgb="00FDE9C8"/>
        </patternFill>
      </fill>
    </dxf>
    <dxf>
      <fill>
        <patternFill patternType="solid">
          <fgColor rgb="00D6EFD8"/>
        </patternFill>
      </fill>
    </dxf>
    <dxf>
      <font>
        <b val="1"/>
        <color rgb="008B1A1A"/>
      </font>
      <fill>
        <patternFill patternType="solid">
          <fgColor rgb="00F8CBCB"/>
        </patternFill>
      </fill>
    </dxf>
    <dxf>
      <font>
        <b val="1"/>
        <color rgb="008B1A1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Term 1 grade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'Distribution'!$A$5:$A$9</f>
            </numRef>
          </cat>
          <val>
            <numRef>
              <f>'Distribution'!$C$5:$C$9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Learners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10" customWidth="1" min="13" max="13"/>
    <col width="10" customWidth="1" min="14" max="14"/>
    <col width="8" customWidth="1" min="15" max="15"/>
    <col width="8" customWidth="1" min="16" max="16"/>
    <col width="30" customWidth="1" min="17" max="17"/>
  </cols>
  <sheetData>
    <row r="1" ht="26" customHeight="1">
      <c r="A1" s="1" t="inlineStr">
        <is>
          <t>BASIC 7 SCIENCE  •  TERM 1  •  CLASS ASSESSMENT RECORD</t>
        </is>
      </c>
    </row>
    <row r="2">
      <c r="A2" s="2" t="inlineStr">
        <is>
          <t>Type into the cream columns only. Blue columns calculate themselves. Maxima are in row 4. Weighting and grade boundaries are on the Settings sheet.</t>
        </is>
      </c>
    </row>
    <row r="3" ht="30" customHeight="1">
      <c r="A3" s="3" t="inlineStr">
        <is>
          <t>#</t>
        </is>
      </c>
      <c r="B3" s="3" t="inlineStr">
        <is>
          <t>Learner name</t>
        </is>
      </c>
      <c r="C3" s="3" t="inlineStr">
        <is>
          <t>UT1</t>
        </is>
      </c>
      <c r="D3" s="3" t="inlineStr">
        <is>
          <t>UT2</t>
        </is>
      </c>
      <c r="E3" s="3" t="inlineStr">
        <is>
          <t>UT3</t>
        </is>
      </c>
      <c r="F3" s="3" t="inlineStr">
        <is>
          <t>UT4</t>
        </is>
      </c>
      <c r="G3" s="3" t="inlineStr">
        <is>
          <t>R1</t>
        </is>
      </c>
      <c r="H3" s="3" t="inlineStr">
        <is>
          <t>R3</t>
        </is>
      </c>
      <c r="I3" s="3" t="inlineStr">
        <is>
          <t>R4</t>
        </is>
      </c>
      <c r="J3" s="3" t="inlineStr">
        <is>
          <t>R6</t>
        </is>
      </c>
      <c r="K3" s="3" t="inlineStr">
        <is>
          <t>R7</t>
        </is>
      </c>
      <c r="L3" s="3" t="inlineStr">
        <is>
          <t>Exam</t>
        </is>
      </c>
      <c r="M3" s="3" t="inlineStr">
        <is>
          <t>Classwork
50%</t>
        </is>
      </c>
      <c r="N3" s="3" t="inlineStr">
        <is>
          <t>Exam
50%</t>
        </is>
      </c>
      <c r="O3" s="3" t="inlineStr">
        <is>
          <t>Term
%</t>
        </is>
      </c>
      <c r="P3" s="3" t="inlineStr">
        <is>
          <t>Grade</t>
        </is>
      </c>
      <c r="Q3" s="3" t="inlineStr">
        <is>
          <t>Comment</t>
        </is>
      </c>
    </row>
    <row r="4">
      <c r="B4" s="4" t="inlineStr">
        <is>
          <t>MAX →</t>
        </is>
      </c>
      <c r="C4" s="5" t="n">
        <v>20</v>
      </c>
      <c r="D4" s="5" t="n">
        <v>20</v>
      </c>
      <c r="E4" s="5" t="n">
        <v>30</v>
      </c>
      <c r="F4" s="5" t="n">
        <v>20</v>
      </c>
      <c r="G4" s="5" t="n">
        <v>10</v>
      </c>
      <c r="H4" s="5" t="n">
        <v>20</v>
      </c>
      <c r="I4" s="5" t="n">
        <v>10</v>
      </c>
      <c r="J4" s="5" t="n">
        <v>20</v>
      </c>
      <c r="K4" s="5" t="n">
        <v>20</v>
      </c>
      <c r="L4" s="5" t="n">
        <v>100</v>
      </c>
    </row>
    <row r="5">
      <c r="A5" s="6" t="n">
        <v>1</v>
      </c>
      <c r="B5" s="7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9">
        <f>IF(COUNT(C5:L5)=0,"",(C5+D5+E5+F5+G5+H5+I5+J5+K5)/170*100)</f>
        <v/>
      </c>
      <c r="N5" s="9">
        <f>IF(COUNT(L5)=0,"",L5/100*100)</f>
        <v/>
      </c>
      <c r="O5" s="9">
        <f>IF(OR(COUNT(C5:L5)=0,L5=""),"",M5*Settings!$B$3/100+N5*Settings!$B$4/100)</f>
        <v/>
      </c>
      <c r="P5" s="10">
        <f>IF(O5="","",IFERROR(VLOOKUP(O5,Settings!$A$8:$B$12,2,TRUE),""))</f>
        <v/>
      </c>
      <c r="Q5" s="11">
        <f>IF(O5="","",IF(O5&lt;Settings!$B$5,"Needs support — see Indicator Analysis",""))</f>
        <v/>
      </c>
    </row>
    <row r="6">
      <c r="A6" s="6" t="n">
        <v>2</v>
      </c>
      <c r="B6" s="7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9">
        <f>IF(COUNT(C6:L6)=0,"",(C6+D6+E6+F6+G6+H6+I6+J6+K6)/170*100)</f>
        <v/>
      </c>
      <c r="N6" s="9">
        <f>IF(COUNT(L6)=0,"",L6/100*100)</f>
        <v/>
      </c>
      <c r="O6" s="9">
        <f>IF(OR(COUNT(C6:L6)=0,L6=""),"",M6*Settings!$B$3/100+N6*Settings!$B$4/100)</f>
        <v/>
      </c>
      <c r="P6" s="10">
        <f>IF(O6="","",IFERROR(VLOOKUP(O6,Settings!$A$8:$B$12,2,TRUE),""))</f>
        <v/>
      </c>
      <c r="Q6" s="11">
        <f>IF(O6="","",IF(O6&lt;Settings!$B$5,"Needs support — see Indicator Analysis",""))</f>
        <v/>
      </c>
    </row>
    <row r="7">
      <c r="A7" s="6" t="n">
        <v>3</v>
      </c>
      <c r="B7" s="7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9">
        <f>IF(COUNT(C7:L7)=0,"",(C7+D7+E7+F7+G7+H7+I7+J7+K7)/170*100)</f>
        <v/>
      </c>
      <c r="N7" s="9">
        <f>IF(COUNT(L7)=0,"",L7/100*100)</f>
        <v/>
      </c>
      <c r="O7" s="9">
        <f>IF(OR(COUNT(C7:L7)=0,L7=""),"",M7*Settings!$B$3/100+N7*Settings!$B$4/100)</f>
        <v/>
      </c>
      <c r="P7" s="10">
        <f>IF(O7="","",IFERROR(VLOOKUP(O7,Settings!$A$8:$B$12,2,TRUE),""))</f>
        <v/>
      </c>
      <c r="Q7" s="11">
        <f>IF(O7="","",IF(O7&lt;Settings!$B$5,"Needs support — see Indicator Analysis",""))</f>
        <v/>
      </c>
    </row>
    <row r="8">
      <c r="A8" s="6" t="n">
        <v>4</v>
      </c>
      <c r="B8" s="7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9">
        <f>IF(COUNT(C8:L8)=0,"",(C8+D8+E8+F8+G8+H8+I8+J8+K8)/170*100)</f>
        <v/>
      </c>
      <c r="N8" s="9">
        <f>IF(COUNT(L8)=0,"",L8/100*100)</f>
        <v/>
      </c>
      <c r="O8" s="9">
        <f>IF(OR(COUNT(C8:L8)=0,L8=""),"",M8*Settings!$B$3/100+N8*Settings!$B$4/100)</f>
        <v/>
      </c>
      <c r="P8" s="10">
        <f>IF(O8="","",IFERROR(VLOOKUP(O8,Settings!$A$8:$B$12,2,TRUE),""))</f>
        <v/>
      </c>
      <c r="Q8" s="11">
        <f>IF(O8="","",IF(O8&lt;Settings!$B$5,"Needs support — see Indicator Analysis",""))</f>
        <v/>
      </c>
    </row>
    <row r="9">
      <c r="A9" s="6" t="n">
        <v>5</v>
      </c>
      <c r="B9" s="7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9">
        <f>IF(COUNT(C9:L9)=0,"",(C9+D9+E9+F9+G9+H9+I9+J9+K9)/170*100)</f>
        <v/>
      </c>
      <c r="N9" s="9">
        <f>IF(COUNT(L9)=0,"",L9/100*100)</f>
        <v/>
      </c>
      <c r="O9" s="9">
        <f>IF(OR(COUNT(C9:L9)=0,L9=""),"",M9*Settings!$B$3/100+N9*Settings!$B$4/100)</f>
        <v/>
      </c>
      <c r="P9" s="10">
        <f>IF(O9="","",IFERROR(VLOOKUP(O9,Settings!$A$8:$B$12,2,TRUE),""))</f>
        <v/>
      </c>
      <c r="Q9" s="11">
        <f>IF(O9="","",IF(O9&lt;Settings!$B$5,"Needs support — see Indicator Analysis",""))</f>
        <v/>
      </c>
    </row>
    <row r="10">
      <c r="A10" s="6" t="n">
        <v>6</v>
      </c>
      <c r="B10" s="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9">
        <f>IF(COUNT(C10:L10)=0,"",(C10+D10+E10+F10+G10+H10+I10+J10+K10)/170*100)</f>
        <v/>
      </c>
      <c r="N10" s="9">
        <f>IF(COUNT(L10)=0,"",L10/100*100)</f>
        <v/>
      </c>
      <c r="O10" s="9">
        <f>IF(OR(COUNT(C10:L10)=0,L10=""),"",M10*Settings!$B$3/100+N10*Settings!$B$4/100)</f>
        <v/>
      </c>
      <c r="P10" s="10">
        <f>IF(O10="","",IFERROR(VLOOKUP(O10,Settings!$A$8:$B$12,2,TRUE),""))</f>
        <v/>
      </c>
      <c r="Q10" s="11">
        <f>IF(O10="","",IF(O10&lt;Settings!$B$5,"Needs support — see Indicator Analysis",""))</f>
        <v/>
      </c>
    </row>
    <row r="11">
      <c r="A11" s="6" t="n">
        <v>7</v>
      </c>
      <c r="B11" s="7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9">
        <f>IF(COUNT(C11:L11)=0,"",(C11+D11+E11+F11+G11+H11+I11+J11+K11)/170*100)</f>
        <v/>
      </c>
      <c r="N11" s="9">
        <f>IF(COUNT(L11)=0,"",L11/100*100)</f>
        <v/>
      </c>
      <c r="O11" s="9">
        <f>IF(OR(COUNT(C11:L11)=0,L11=""),"",M11*Settings!$B$3/100+N11*Settings!$B$4/100)</f>
        <v/>
      </c>
      <c r="P11" s="10">
        <f>IF(O11="","",IFERROR(VLOOKUP(O11,Settings!$A$8:$B$12,2,TRUE),""))</f>
        <v/>
      </c>
      <c r="Q11" s="11">
        <f>IF(O11="","",IF(O11&lt;Settings!$B$5,"Needs support — see Indicator Analysis",""))</f>
        <v/>
      </c>
    </row>
    <row r="12">
      <c r="A12" s="6" t="n">
        <v>8</v>
      </c>
      <c r="B12" s="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9">
        <f>IF(COUNT(C12:L12)=0,"",(C12+D12+E12+F12+G12+H12+I12+J12+K12)/170*100)</f>
        <v/>
      </c>
      <c r="N12" s="9">
        <f>IF(COUNT(L12)=0,"",L12/100*100)</f>
        <v/>
      </c>
      <c r="O12" s="9">
        <f>IF(OR(COUNT(C12:L12)=0,L12=""),"",M12*Settings!$B$3/100+N12*Settings!$B$4/100)</f>
        <v/>
      </c>
      <c r="P12" s="10">
        <f>IF(O12="","",IFERROR(VLOOKUP(O12,Settings!$A$8:$B$12,2,TRUE),""))</f>
        <v/>
      </c>
      <c r="Q12" s="11">
        <f>IF(O12="","",IF(O12&lt;Settings!$B$5,"Needs support — see Indicator Analysis",""))</f>
        <v/>
      </c>
    </row>
    <row r="13">
      <c r="A13" s="6" t="n">
        <v>9</v>
      </c>
      <c r="B13" s="7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9">
        <f>IF(COUNT(C13:L13)=0,"",(C13+D13+E13+F13+G13+H13+I13+J13+K13)/170*100)</f>
        <v/>
      </c>
      <c r="N13" s="9">
        <f>IF(COUNT(L13)=0,"",L13/100*100)</f>
        <v/>
      </c>
      <c r="O13" s="9">
        <f>IF(OR(COUNT(C13:L13)=0,L13=""),"",M13*Settings!$B$3/100+N13*Settings!$B$4/100)</f>
        <v/>
      </c>
      <c r="P13" s="10">
        <f>IF(O13="","",IFERROR(VLOOKUP(O13,Settings!$A$8:$B$12,2,TRUE),""))</f>
        <v/>
      </c>
      <c r="Q13" s="11">
        <f>IF(O13="","",IF(O13&lt;Settings!$B$5,"Needs support — see Indicator Analysis",""))</f>
        <v/>
      </c>
    </row>
    <row r="14">
      <c r="A14" s="6" t="n">
        <v>10</v>
      </c>
      <c r="B14" s="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9">
        <f>IF(COUNT(C14:L14)=0,"",(C14+D14+E14+F14+G14+H14+I14+J14+K14)/170*100)</f>
        <v/>
      </c>
      <c r="N14" s="9">
        <f>IF(COUNT(L14)=0,"",L14/100*100)</f>
        <v/>
      </c>
      <c r="O14" s="9">
        <f>IF(OR(COUNT(C14:L14)=0,L14=""),"",M14*Settings!$B$3/100+N14*Settings!$B$4/100)</f>
        <v/>
      </c>
      <c r="P14" s="10">
        <f>IF(O14="","",IFERROR(VLOOKUP(O14,Settings!$A$8:$B$12,2,TRUE),""))</f>
        <v/>
      </c>
      <c r="Q14" s="11">
        <f>IF(O14="","",IF(O14&lt;Settings!$B$5,"Needs support — see Indicator Analysis",""))</f>
        <v/>
      </c>
    </row>
    <row r="15">
      <c r="A15" s="6" t="n">
        <v>11</v>
      </c>
      <c r="B15" s="7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9">
        <f>IF(COUNT(C15:L15)=0,"",(C15+D15+E15+F15+G15+H15+I15+J15+K15)/170*100)</f>
        <v/>
      </c>
      <c r="N15" s="9">
        <f>IF(COUNT(L15)=0,"",L15/100*100)</f>
        <v/>
      </c>
      <c r="O15" s="9">
        <f>IF(OR(COUNT(C15:L15)=0,L15=""),"",M15*Settings!$B$3/100+N15*Settings!$B$4/100)</f>
        <v/>
      </c>
      <c r="P15" s="10">
        <f>IF(O15="","",IFERROR(VLOOKUP(O15,Settings!$A$8:$B$12,2,TRUE),""))</f>
        <v/>
      </c>
      <c r="Q15" s="11">
        <f>IF(O15="","",IF(O15&lt;Settings!$B$5,"Needs support — see Indicator Analysis",""))</f>
        <v/>
      </c>
    </row>
    <row r="16">
      <c r="A16" s="6" t="n">
        <v>12</v>
      </c>
      <c r="B16" s="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9">
        <f>IF(COUNT(C16:L16)=0,"",(C16+D16+E16+F16+G16+H16+I16+J16+K16)/170*100)</f>
        <v/>
      </c>
      <c r="N16" s="9">
        <f>IF(COUNT(L16)=0,"",L16/100*100)</f>
        <v/>
      </c>
      <c r="O16" s="9">
        <f>IF(OR(COUNT(C16:L16)=0,L16=""),"",M16*Settings!$B$3/100+N16*Settings!$B$4/100)</f>
        <v/>
      </c>
      <c r="P16" s="10">
        <f>IF(O16="","",IFERROR(VLOOKUP(O16,Settings!$A$8:$B$12,2,TRUE),""))</f>
        <v/>
      </c>
      <c r="Q16" s="11">
        <f>IF(O16="","",IF(O16&lt;Settings!$B$5,"Needs support — see Indicator Analysis",""))</f>
        <v/>
      </c>
    </row>
    <row r="17">
      <c r="A17" s="6" t="n">
        <v>13</v>
      </c>
      <c r="B17" s="7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9">
        <f>IF(COUNT(C17:L17)=0,"",(C17+D17+E17+F17+G17+H17+I17+J17+K17)/170*100)</f>
        <v/>
      </c>
      <c r="N17" s="9">
        <f>IF(COUNT(L17)=0,"",L17/100*100)</f>
        <v/>
      </c>
      <c r="O17" s="9">
        <f>IF(OR(COUNT(C17:L17)=0,L17=""),"",M17*Settings!$B$3/100+N17*Settings!$B$4/100)</f>
        <v/>
      </c>
      <c r="P17" s="10">
        <f>IF(O17="","",IFERROR(VLOOKUP(O17,Settings!$A$8:$B$12,2,TRUE),""))</f>
        <v/>
      </c>
      <c r="Q17" s="11">
        <f>IF(O17="","",IF(O17&lt;Settings!$B$5,"Needs support — see Indicator Analysis",""))</f>
        <v/>
      </c>
    </row>
    <row r="18">
      <c r="A18" s="6" t="n">
        <v>14</v>
      </c>
      <c r="B18" s="7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9">
        <f>IF(COUNT(C18:L18)=0,"",(C18+D18+E18+F18+G18+H18+I18+J18+K18)/170*100)</f>
        <v/>
      </c>
      <c r="N18" s="9">
        <f>IF(COUNT(L18)=0,"",L18/100*100)</f>
        <v/>
      </c>
      <c r="O18" s="9">
        <f>IF(OR(COUNT(C18:L18)=0,L18=""),"",M18*Settings!$B$3/100+N18*Settings!$B$4/100)</f>
        <v/>
      </c>
      <c r="P18" s="10">
        <f>IF(O18="","",IFERROR(VLOOKUP(O18,Settings!$A$8:$B$12,2,TRUE),""))</f>
        <v/>
      </c>
      <c r="Q18" s="11">
        <f>IF(O18="","",IF(O18&lt;Settings!$B$5,"Needs support — see Indicator Analysis",""))</f>
        <v/>
      </c>
    </row>
    <row r="19">
      <c r="A19" s="6" t="n">
        <v>15</v>
      </c>
      <c r="B19" s="7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9">
        <f>IF(COUNT(C19:L19)=0,"",(C19+D19+E19+F19+G19+H19+I19+J19+K19)/170*100)</f>
        <v/>
      </c>
      <c r="N19" s="9">
        <f>IF(COUNT(L19)=0,"",L19/100*100)</f>
        <v/>
      </c>
      <c r="O19" s="9">
        <f>IF(OR(COUNT(C19:L19)=0,L19=""),"",M19*Settings!$B$3/100+N19*Settings!$B$4/100)</f>
        <v/>
      </c>
      <c r="P19" s="10">
        <f>IF(O19="","",IFERROR(VLOOKUP(O19,Settings!$A$8:$B$12,2,TRUE),""))</f>
        <v/>
      </c>
      <c r="Q19" s="11">
        <f>IF(O19="","",IF(O19&lt;Settings!$B$5,"Needs support — see Indicator Analysis",""))</f>
        <v/>
      </c>
    </row>
    <row r="20">
      <c r="A20" s="6" t="n">
        <v>16</v>
      </c>
      <c r="B20" s="7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9">
        <f>IF(COUNT(C20:L20)=0,"",(C20+D20+E20+F20+G20+H20+I20+J20+K20)/170*100)</f>
        <v/>
      </c>
      <c r="N20" s="9">
        <f>IF(COUNT(L20)=0,"",L20/100*100)</f>
        <v/>
      </c>
      <c r="O20" s="9">
        <f>IF(OR(COUNT(C20:L20)=0,L20=""),"",M20*Settings!$B$3/100+N20*Settings!$B$4/100)</f>
        <v/>
      </c>
      <c r="P20" s="10">
        <f>IF(O20="","",IFERROR(VLOOKUP(O20,Settings!$A$8:$B$12,2,TRUE),""))</f>
        <v/>
      </c>
      <c r="Q20" s="11">
        <f>IF(O20="","",IF(O20&lt;Settings!$B$5,"Needs support — see Indicator Analysis",""))</f>
        <v/>
      </c>
    </row>
    <row r="21">
      <c r="A21" s="6" t="n">
        <v>17</v>
      </c>
      <c r="B21" s="7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9">
        <f>IF(COUNT(C21:L21)=0,"",(C21+D21+E21+F21+G21+H21+I21+J21+K21)/170*100)</f>
        <v/>
      </c>
      <c r="N21" s="9">
        <f>IF(COUNT(L21)=0,"",L21/100*100)</f>
        <v/>
      </c>
      <c r="O21" s="9">
        <f>IF(OR(COUNT(C21:L21)=0,L21=""),"",M21*Settings!$B$3/100+N21*Settings!$B$4/100)</f>
        <v/>
      </c>
      <c r="P21" s="10">
        <f>IF(O21="","",IFERROR(VLOOKUP(O21,Settings!$A$8:$B$12,2,TRUE),""))</f>
        <v/>
      </c>
      <c r="Q21" s="11">
        <f>IF(O21="","",IF(O21&lt;Settings!$B$5,"Needs support — see Indicator Analysis",""))</f>
        <v/>
      </c>
    </row>
    <row r="22">
      <c r="A22" s="6" t="n">
        <v>18</v>
      </c>
      <c r="B22" s="7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9">
        <f>IF(COUNT(C22:L22)=0,"",(C22+D22+E22+F22+G22+H22+I22+J22+K22)/170*100)</f>
        <v/>
      </c>
      <c r="N22" s="9">
        <f>IF(COUNT(L22)=0,"",L22/100*100)</f>
        <v/>
      </c>
      <c r="O22" s="9">
        <f>IF(OR(COUNT(C22:L22)=0,L22=""),"",M22*Settings!$B$3/100+N22*Settings!$B$4/100)</f>
        <v/>
      </c>
      <c r="P22" s="10">
        <f>IF(O22="","",IFERROR(VLOOKUP(O22,Settings!$A$8:$B$12,2,TRUE),""))</f>
        <v/>
      </c>
      <c r="Q22" s="11">
        <f>IF(O22="","",IF(O22&lt;Settings!$B$5,"Needs support — see Indicator Analysis",""))</f>
        <v/>
      </c>
    </row>
    <row r="23">
      <c r="A23" s="6" t="n">
        <v>19</v>
      </c>
      <c r="B23" s="7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9">
        <f>IF(COUNT(C23:L23)=0,"",(C23+D23+E23+F23+G23+H23+I23+J23+K23)/170*100)</f>
        <v/>
      </c>
      <c r="N23" s="9">
        <f>IF(COUNT(L23)=0,"",L23/100*100)</f>
        <v/>
      </c>
      <c r="O23" s="9">
        <f>IF(OR(COUNT(C23:L23)=0,L23=""),"",M23*Settings!$B$3/100+N23*Settings!$B$4/100)</f>
        <v/>
      </c>
      <c r="P23" s="10">
        <f>IF(O23="","",IFERROR(VLOOKUP(O23,Settings!$A$8:$B$12,2,TRUE),""))</f>
        <v/>
      </c>
      <c r="Q23" s="11">
        <f>IF(O23="","",IF(O23&lt;Settings!$B$5,"Needs support — see Indicator Analysis",""))</f>
        <v/>
      </c>
    </row>
    <row r="24">
      <c r="A24" s="6" t="n">
        <v>20</v>
      </c>
      <c r="B24" s="7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9">
        <f>IF(COUNT(C24:L24)=0,"",(C24+D24+E24+F24+G24+H24+I24+J24+K24)/170*100)</f>
        <v/>
      </c>
      <c r="N24" s="9">
        <f>IF(COUNT(L24)=0,"",L24/100*100)</f>
        <v/>
      </c>
      <c r="O24" s="9">
        <f>IF(OR(COUNT(C24:L24)=0,L24=""),"",M24*Settings!$B$3/100+N24*Settings!$B$4/100)</f>
        <v/>
      </c>
      <c r="P24" s="10">
        <f>IF(O24="","",IFERROR(VLOOKUP(O24,Settings!$A$8:$B$12,2,TRUE),""))</f>
        <v/>
      </c>
      <c r="Q24" s="11">
        <f>IF(O24="","",IF(O24&lt;Settings!$B$5,"Needs support — see Indicator Analysis",""))</f>
        <v/>
      </c>
    </row>
    <row r="25">
      <c r="A25" s="6" t="n">
        <v>21</v>
      </c>
      <c r="B25" s="7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9">
        <f>IF(COUNT(C25:L25)=0,"",(C25+D25+E25+F25+G25+H25+I25+J25+K25)/170*100)</f>
        <v/>
      </c>
      <c r="N25" s="9">
        <f>IF(COUNT(L25)=0,"",L25/100*100)</f>
        <v/>
      </c>
      <c r="O25" s="9">
        <f>IF(OR(COUNT(C25:L25)=0,L25=""),"",M25*Settings!$B$3/100+N25*Settings!$B$4/100)</f>
        <v/>
      </c>
      <c r="P25" s="10">
        <f>IF(O25="","",IFERROR(VLOOKUP(O25,Settings!$A$8:$B$12,2,TRUE),""))</f>
        <v/>
      </c>
      <c r="Q25" s="11">
        <f>IF(O25="","",IF(O25&lt;Settings!$B$5,"Needs support — see Indicator Analysis",""))</f>
        <v/>
      </c>
    </row>
    <row r="26">
      <c r="A26" s="6" t="n">
        <v>22</v>
      </c>
      <c r="B26" s="7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9">
        <f>IF(COUNT(C26:L26)=0,"",(C26+D26+E26+F26+G26+H26+I26+J26+K26)/170*100)</f>
        <v/>
      </c>
      <c r="N26" s="9">
        <f>IF(COUNT(L26)=0,"",L26/100*100)</f>
        <v/>
      </c>
      <c r="O26" s="9">
        <f>IF(OR(COUNT(C26:L26)=0,L26=""),"",M26*Settings!$B$3/100+N26*Settings!$B$4/100)</f>
        <v/>
      </c>
      <c r="P26" s="10">
        <f>IF(O26="","",IFERROR(VLOOKUP(O26,Settings!$A$8:$B$12,2,TRUE),""))</f>
        <v/>
      </c>
      <c r="Q26" s="11">
        <f>IF(O26="","",IF(O26&lt;Settings!$B$5,"Needs support — see Indicator Analysis",""))</f>
        <v/>
      </c>
    </row>
    <row r="27">
      <c r="A27" s="6" t="n">
        <v>23</v>
      </c>
      <c r="B27" s="7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9">
        <f>IF(COUNT(C27:L27)=0,"",(C27+D27+E27+F27+G27+H27+I27+J27+K27)/170*100)</f>
        <v/>
      </c>
      <c r="N27" s="9">
        <f>IF(COUNT(L27)=0,"",L27/100*100)</f>
        <v/>
      </c>
      <c r="O27" s="9">
        <f>IF(OR(COUNT(C27:L27)=0,L27=""),"",M27*Settings!$B$3/100+N27*Settings!$B$4/100)</f>
        <v/>
      </c>
      <c r="P27" s="10">
        <f>IF(O27="","",IFERROR(VLOOKUP(O27,Settings!$A$8:$B$12,2,TRUE),""))</f>
        <v/>
      </c>
      <c r="Q27" s="11">
        <f>IF(O27="","",IF(O27&lt;Settings!$B$5,"Needs support — see Indicator Analysis",""))</f>
        <v/>
      </c>
    </row>
    <row r="28">
      <c r="A28" s="6" t="n">
        <v>24</v>
      </c>
      <c r="B28" s="7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9">
        <f>IF(COUNT(C28:L28)=0,"",(C28+D28+E28+F28+G28+H28+I28+J28+K28)/170*100)</f>
        <v/>
      </c>
      <c r="N28" s="9">
        <f>IF(COUNT(L28)=0,"",L28/100*100)</f>
        <v/>
      </c>
      <c r="O28" s="9">
        <f>IF(OR(COUNT(C28:L28)=0,L28=""),"",M28*Settings!$B$3/100+N28*Settings!$B$4/100)</f>
        <v/>
      </c>
      <c r="P28" s="10">
        <f>IF(O28="","",IFERROR(VLOOKUP(O28,Settings!$A$8:$B$12,2,TRUE),""))</f>
        <v/>
      </c>
      <c r="Q28" s="11">
        <f>IF(O28="","",IF(O28&lt;Settings!$B$5,"Needs support — see Indicator Analysis",""))</f>
        <v/>
      </c>
    </row>
    <row r="29">
      <c r="A29" s="6" t="n">
        <v>25</v>
      </c>
      <c r="B29" s="7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9">
        <f>IF(COUNT(C29:L29)=0,"",(C29+D29+E29+F29+G29+H29+I29+J29+K29)/170*100)</f>
        <v/>
      </c>
      <c r="N29" s="9">
        <f>IF(COUNT(L29)=0,"",L29/100*100)</f>
        <v/>
      </c>
      <c r="O29" s="9">
        <f>IF(OR(COUNT(C29:L29)=0,L29=""),"",M29*Settings!$B$3/100+N29*Settings!$B$4/100)</f>
        <v/>
      </c>
      <c r="P29" s="10">
        <f>IF(O29="","",IFERROR(VLOOKUP(O29,Settings!$A$8:$B$12,2,TRUE),""))</f>
        <v/>
      </c>
      <c r="Q29" s="11">
        <f>IF(O29="","",IF(O29&lt;Settings!$B$5,"Needs support — see Indicator Analysis",""))</f>
        <v/>
      </c>
    </row>
    <row r="30">
      <c r="A30" s="6" t="n">
        <v>26</v>
      </c>
      <c r="B30" s="7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9">
        <f>IF(COUNT(C30:L30)=0,"",(C30+D30+E30+F30+G30+H30+I30+J30+K30)/170*100)</f>
        <v/>
      </c>
      <c r="N30" s="9">
        <f>IF(COUNT(L30)=0,"",L30/100*100)</f>
        <v/>
      </c>
      <c r="O30" s="9">
        <f>IF(OR(COUNT(C30:L30)=0,L30=""),"",M30*Settings!$B$3/100+N30*Settings!$B$4/100)</f>
        <v/>
      </c>
      <c r="P30" s="10">
        <f>IF(O30="","",IFERROR(VLOOKUP(O30,Settings!$A$8:$B$12,2,TRUE),""))</f>
        <v/>
      </c>
      <c r="Q30" s="11">
        <f>IF(O30="","",IF(O30&lt;Settings!$B$5,"Needs support — see Indicator Analysis",""))</f>
        <v/>
      </c>
    </row>
    <row r="31">
      <c r="A31" s="6" t="n">
        <v>27</v>
      </c>
      <c r="B31" s="7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9">
        <f>IF(COUNT(C31:L31)=0,"",(C31+D31+E31+F31+G31+H31+I31+J31+K31)/170*100)</f>
        <v/>
      </c>
      <c r="N31" s="9">
        <f>IF(COUNT(L31)=0,"",L31/100*100)</f>
        <v/>
      </c>
      <c r="O31" s="9">
        <f>IF(OR(COUNT(C31:L31)=0,L31=""),"",M31*Settings!$B$3/100+N31*Settings!$B$4/100)</f>
        <v/>
      </c>
      <c r="P31" s="10">
        <f>IF(O31="","",IFERROR(VLOOKUP(O31,Settings!$A$8:$B$12,2,TRUE),""))</f>
        <v/>
      </c>
      <c r="Q31" s="11">
        <f>IF(O31="","",IF(O31&lt;Settings!$B$5,"Needs support — see Indicator Analysis",""))</f>
        <v/>
      </c>
    </row>
    <row r="32">
      <c r="A32" s="6" t="n">
        <v>28</v>
      </c>
      <c r="B32" s="7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9">
        <f>IF(COUNT(C32:L32)=0,"",(C32+D32+E32+F32+G32+H32+I32+J32+K32)/170*100)</f>
        <v/>
      </c>
      <c r="N32" s="9">
        <f>IF(COUNT(L32)=0,"",L32/100*100)</f>
        <v/>
      </c>
      <c r="O32" s="9">
        <f>IF(OR(COUNT(C32:L32)=0,L32=""),"",M32*Settings!$B$3/100+N32*Settings!$B$4/100)</f>
        <v/>
      </c>
      <c r="P32" s="10">
        <f>IF(O32="","",IFERROR(VLOOKUP(O32,Settings!$A$8:$B$12,2,TRUE),""))</f>
        <v/>
      </c>
      <c r="Q32" s="11">
        <f>IF(O32="","",IF(O32&lt;Settings!$B$5,"Needs support — see Indicator Analysis",""))</f>
        <v/>
      </c>
    </row>
    <row r="33">
      <c r="A33" s="6" t="n">
        <v>29</v>
      </c>
      <c r="B33" s="7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9">
        <f>IF(COUNT(C33:L33)=0,"",(C33+D33+E33+F33+G33+H33+I33+J33+K33)/170*100)</f>
        <v/>
      </c>
      <c r="N33" s="9">
        <f>IF(COUNT(L33)=0,"",L33/100*100)</f>
        <v/>
      </c>
      <c r="O33" s="9">
        <f>IF(OR(COUNT(C33:L33)=0,L33=""),"",M33*Settings!$B$3/100+N33*Settings!$B$4/100)</f>
        <v/>
      </c>
      <c r="P33" s="10">
        <f>IF(O33="","",IFERROR(VLOOKUP(O33,Settings!$A$8:$B$12,2,TRUE),""))</f>
        <v/>
      </c>
      <c r="Q33" s="11">
        <f>IF(O33="","",IF(O33&lt;Settings!$B$5,"Needs support — see Indicator Analysis",""))</f>
        <v/>
      </c>
    </row>
    <row r="34">
      <c r="A34" s="6" t="n">
        <v>30</v>
      </c>
      <c r="B34" s="7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9">
        <f>IF(COUNT(C34:L34)=0,"",(C34+D34+E34+F34+G34+H34+I34+J34+K34)/170*100)</f>
        <v/>
      </c>
      <c r="N34" s="9">
        <f>IF(COUNT(L34)=0,"",L34/100*100)</f>
        <v/>
      </c>
      <c r="O34" s="9">
        <f>IF(OR(COUNT(C34:L34)=0,L34=""),"",M34*Settings!$B$3/100+N34*Settings!$B$4/100)</f>
        <v/>
      </c>
      <c r="P34" s="10">
        <f>IF(O34="","",IFERROR(VLOOKUP(O34,Settings!$A$8:$B$12,2,TRUE),""))</f>
        <v/>
      </c>
      <c r="Q34" s="11">
        <f>IF(O34="","",IF(O34&lt;Settings!$B$5,"Needs support — see Indicator Analysis",""))</f>
        <v/>
      </c>
    </row>
    <row r="35">
      <c r="A35" s="6" t="n">
        <v>31</v>
      </c>
      <c r="B35" s="7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9">
        <f>IF(COUNT(C35:L35)=0,"",(C35+D35+E35+F35+G35+H35+I35+J35+K35)/170*100)</f>
        <v/>
      </c>
      <c r="N35" s="9">
        <f>IF(COUNT(L35)=0,"",L35/100*100)</f>
        <v/>
      </c>
      <c r="O35" s="9">
        <f>IF(OR(COUNT(C35:L35)=0,L35=""),"",M35*Settings!$B$3/100+N35*Settings!$B$4/100)</f>
        <v/>
      </c>
      <c r="P35" s="10">
        <f>IF(O35="","",IFERROR(VLOOKUP(O35,Settings!$A$8:$B$12,2,TRUE),""))</f>
        <v/>
      </c>
      <c r="Q35" s="11">
        <f>IF(O35="","",IF(O35&lt;Settings!$B$5,"Needs support — see Indicator Analysis",""))</f>
        <v/>
      </c>
    </row>
    <row r="36">
      <c r="A36" s="6" t="n">
        <v>32</v>
      </c>
      <c r="B36" s="7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9">
        <f>IF(COUNT(C36:L36)=0,"",(C36+D36+E36+F36+G36+H36+I36+J36+K36)/170*100)</f>
        <v/>
      </c>
      <c r="N36" s="9">
        <f>IF(COUNT(L36)=0,"",L36/100*100)</f>
        <v/>
      </c>
      <c r="O36" s="9">
        <f>IF(OR(COUNT(C36:L36)=0,L36=""),"",M36*Settings!$B$3/100+N36*Settings!$B$4/100)</f>
        <v/>
      </c>
      <c r="P36" s="10">
        <f>IF(O36="","",IFERROR(VLOOKUP(O36,Settings!$A$8:$B$12,2,TRUE),""))</f>
        <v/>
      </c>
      <c r="Q36" s="11">
        <f>IF(O36="","",IF(O36&lt;Settings!$B$5,"Needs support — see Indicator Analysis",""))</f>
        <v/>
      </c>
    </row>
    <row r="37">
      <c r="A37" s="6" t="n">
        <v>33</v>
      </c>
      <c r="B37" s="7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9">
        <f>IF(COUNT(C37:L37)=0,"",(C37+D37+E37+F37+G37+H37+I37+J37+K37)/170*100)</f>
        <v/>
      </c>
      <c r="N37" s="9">
        <f>IF(COUNT(L37)=0,"",L37/100*100)</f>
        <v/>
      </c>
      <c r="O37" s="9">
        <f>IF(OR(COUNT(C37:L37)=0,L37=""),"",M37*Settings!$B$3/100+N37*Settings!$B$4/100)</f>
        <v/>
      </c>
      <c r="P37" s="10">
        <f>IF(O37="","",IFERROR(VLOOKUP(O37,Settings!$A$8:$B$12,2,TRUE),""))</f>
        <v/>
      </c>
      <c r="Q37" s="11">
        <f>IF(O37="","",IF(O37&lt;Settings!$B$5,"Needs support — see Indicator Analysis",""))</f>
        <v/>
      </c>
    </row>
    <row r="38">
      <c r="A38" s="6" t="n">
        <v>34</v>
      </c>
      <c r="B38" s="7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9">
        <f>IF(COUNT(C38:L38)=0,"",(C38+D38+E38+F38+G38+H38+I38+J38+K38)/170*100)</f>
        <v/>
      </c>
      <c r="N38" s="9">
        <f>IF(COUNT(L38)=0,"",L38/100*100)</f>
        <v/>
      </c>
      <c r="O38" s="9">
        <f>IF(OR(COUNT(C38:L38)=0,L38=""),"",M38*Settings!$B$3/100+N38*Settings!$B$4/100)</f>
        <v/>
      </c>
      <c r="P38" s="10">
        <f>IF(O38="","",IFERROR(VLOOKUP(O38,Settings!$A$8:$B$12,2,TRUE),""))</f>
        <v/>
      </c>
      <c r="Q38" s="11">
        <f>IF(O38="","",IF(O38&lt;Settings!$B$5,"Needs support — see Indicator Analysis",""))</f>
        <v/>
      </c>
    </row>
    <row r="39">
      <c r="A39" s="6" t="n">
        <v>35</v>
      </c>
      <c r="B39" s="7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9">
        <f>IF(COUNT(C39:L39)=0,"",(C39+D39+E39+F39+G39+H39+I39+J39+K39)/170*100)</f>
        <v/>
      </c>
      <c r="N39" s="9">
        <f>IF(COUNT(L39)=0,"",L39/100*100)</f>
        <v/>
      </c>
      <c r="O39" s="9">
        <f>IF(OR(COUNT(C39:L39)=0,L39=""),"",M39*Settings!$B$3/100+N39*Settings!$B$4/100)</f>
        <v/>
      </c>
      <c r="P39" s="10">
        <f>IF(O39="","",IFERROR(VLOOKUP(O39,Settings!$A$8:$B$12,2,TRUE),""))</f>
        <v/>
      </c>
      <c r="Q39" s="11">
        <f>IF(O39="","",IF(O39&lt;Settings!$B$5,"Needs support — see Indicator Analysis",""))</f>
        <v/>
      </c>
    </row>
    <row r="40">
      <c r="A40" s="6" t="n">
        <v>36</v>
      </c>
      <c r="B40" s="7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9">
        <f>IF(COUNT(C40:L40)=0,"",(C40+D40+E40+F40+G40+H40+I40+J40+K40)/170*100)</f>
        <v/>
      </c>
      <c r="N40" s="9">
        <f>IF(COUNT(L40)=0,"",L40/100*100)</f>
        <v/>
      </c>
      <c r="O40" s="9">
        <f>IF(OR(COUNT(C40:L40)=0,L40=""),"",M40*Settings!$B$3/100+N40*Settings!$B$4/100)</f>
        <v/>
      </c>
      <c r="P40" s="10">
        <f>IF(O40="","",IFERROR(VLOOKUP(O40,Settings!$A$8:$B$12,2,TRUE),""))</f>
        <v/>
      </c>
      <c r="Q40" s="11">
        <f>IF(O40="","",IF(O40&lt;Settings!$B$5,"Needs support — see Indicator Analysis",""))</f>
        <v/>
      </c>
    </row>
    <row r="41">
      <c r="A41" s="6" t="n">
        <v>37</v>
      </c>
      <c r="B41" s="7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9">
        <f>IF(COUNT(C41:L41)=0,"",(C41+D41+E41+F41+G41+H41+I41+J41+K41)/170*100)</f>
        <v/>
      </c>
      <c r="N41" s="9">
        <f>IF(COUNT(L41)=0,"",L41/100*100)</f>
        <v/>
      </c>
      <c r="O41" s="9">
        <f>IF(OR(COUNT(C41:L41)=0,L41=""),"",M41*Settings!$B$3/100+N41*Settings!$B$4/100)</f>
        <v/>
      </c>
      <c r="P41" s="10">
        <f>IF(O41="","",IFERROR(VLOOKUP(O41,Settings!$A$8:$B$12,2,TRUE),""))</f>
        <v/>
      </c>
      <c r="Q41" s="11">
        <f>IF(O41="","",IF(O41&lt;Settings!$B$5,"Needs support — see Indicator Analysis",""))</f>
        <v/>
      </c>
    </row>
    <row r="42">
      <c r="A42" s="6" t="n">
        <v>38</v>
      </c>
      <c r="B42" s="7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9">
        <f>IF(COUNT(C42:L42)=0,"",(C42+D42+E42+F42+G42+H42+I42+J42+K42)/170*100)</f>
        <v/>
      </c>
      <c r="N42" s="9">
        <f>IF(COUNT(L42)=0,"",L42/100*100)</f>
        <v/>
      </c>
      <c r="O42" s="9">
        <f>IF(OR(COUNT(C42:L42)=0,L42=""),"",M42*Settings!$B$3/100+N42*Settings!$B$4/100)</f>
        <v/>
      </c>
      <c r="P42" s="10">
        <f>IF(O42="","",IFERROR(VLOOKUP(O42,Settings!$A$8:$B$12,2,TRUE),""))</f>
        <v/>
      </c>
      <c r="Q42" s="11">
        <f>IF(O42="","",IF(O42&lt;Settings!$B$5,"Needs support — see Indicator Analysis",""))</f>
        <v/>
      </c>
    </row>
    <row r="43">
      <c r="A43" s="6" t="n">
        <v>39</v>
      </c>
      <c r="B43" s="7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9">
        <f>IF(COUNT(C43:L43)=0,"",(C43+D43+E43+F43+G43+H43+I43+J43+K43)/170*100)</f>
        <v/>
      </c>
      <c r="N43" s="9">
        <f>IF(COUNT(L43)=0,"",L43/100*100)</f>
        <v/>
      </c>
      <c r="O43" s="9">
        <f>IF(OR(COUNT(C43:L43)=0,L43=""),"",M43*Settings!$B$3/100+N43*Settings!$B$4/100)</f>
        <v/>
      </c>
      <c r="P43" s="10">
        <f>IF(O43="","",IFERROR(VLOOKUP(O43,Settings!$A$8:$B$12,2,TRUE),""))</f>
        <v/>
      </c>
      <c r="Q43" s="11">
        <f>IF(O43="","",IF(O43&lt;Settings!$B$5,"Needs support — see Indicator Analysis",""))</f>
        <v/>
      </c>
    </row>
    <row r="44">
      <c r="A44" s="6" t="n">
        <v>40</v>
      </c>
      <c r="B44" s="7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9">
        <f>IF(COUNT(C44:L44)=0,"",(C44+D44+E44+F44+G44+H44+I44+J44+K44)/170*100)</f>
        <v/>
      </c>
      <c r="N44" s="9">
        <f>IF(COUNT(L44)=0,"",L44/100*100)</f>
        <v/>
      </c>
      <c r="O44" s="9">
        <f>IF(OR(COUNT(C44:L44)=0,L44=""),"",M44*Settings!$B$3/100+N44*Settings!$B$4/100)</f>
        <v/>
      </c>
      <c r="P44" s="10">
        <f>IF(O44="","",IFERROR(VLOOKUP(O44,Settings!$A$8:$B$12,2,TRUE),""))</f>
        <v/>
      </c>
      <c r="Q44" s="11">
        <f>IF(O44="","",IF(O44&lt;Settings!$B$5,"Needs support — see Indicator Analysis",""))</f>
        <v/>
      </c>
    </row>
    <row r="45">
      <c r="A45" s="6" t="n">
        <v>41</v>
      </c>
      <c r="B45" s="7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9">
        <f>IF(COUNT(C45:L45)=0,"",(C45+D45+E45+F45+G45+H45+I45+J45+K45)/170*100)</f>
        <v/>
      </c>
      <c r="N45" s="9">
        <f>IF(COUNT(L45)=0,"",L45/100*100)</f>
        <v/>
      </c>
      <c r="O45" s="9">
        <f>IF(OR(COUNT(C45:L45)=0,L45=""),"",M45*Settings!$B$3/100+N45*Settings!$B$4/100)</f>
        <v/>
      </c>
      <c r="P45" s="10">
        <f>IF(O45="","",IFERROR(VLOOKUP(O45,Settings!$A$8:$B$12,2,TRUE),""))</f>
        <v/>
      </c>
      <c r="Q45" s="11">
        <f>IF(O45="","",IF(O45&lt;Settings!$B$5,"Needs support — see Indicator Analysis",""))</f>
        <v/>
      </c>
    </row>
    <row r="46">
      <c r="A46" s="6" t="n">
        <v>42</v>
      </c>
      <c r="B46" s="7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9">
        <f>IF(COUNT(C46:L46)=0,"",(C46+D46+E46+F46+G46+H46+I46+J46+K46)/170*100)</f>
        <v/>
      </c>
      <c r="N46" s="9">
        <f>IF(COUNT(L46)=0,"",L46/100*100)</f>
        <v/>
      </c>
      <c r="O46" s="9">
        <f>IF(OR(COUNT(C46:L46)=0,L46=""),"",M46*Settings!$B$3/100+N46*Settings!$B$4/100)</f>
        <v/>
      </c>
      <c r="P46" s="10">
        <f>IF(O46="","",IFERROR(VLOOKUP(O46,Settings!$A$8:$B$12,2,TRUE),""))</f>
        <v/>
      </c>
      <c r="Q46" s="11">
        <f>IF(O46="","",IF(O46&lt;Settings!$B$5,"Needs support — see Indicator Analysis",""))</f>
        <v/>
      </c>
    </row>
    <row r="47">
      <c r="A47" s="6" t="n">
        <v>43</v>
      </c>
      <c r="B47" s="7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9">
        <f>IF(COUNT(C47:L47)=0,"",(C47+D47+E47+F47+G47+H47+I47+J47+K47)/170*100)</f>
        <v/>
      </c>
      <c r="N47" s="9">
        <f>IF(COUNT(L47)=0,"",L47/100*100)</f>
        <v/>
      </c>
      <c r="O47" s="9">
        <f>IF(OR(COUNT(C47:L47)=0,L47=""),"",M47*Settings!$B$3/100+N47*Settings!$B$4/100)</f>
        <v/>
      </c>
      <c r="P47" s="10">
        <f>IF(O47="","",IFERROR(VLOOKUP(O47,Settings!$A$8:$B$12,2,TRUE),""))</f>
        <v/>
      </c>
      <c r="Q47" s="11">
        <f>IF(O47="","",IF(O47&lt;Settings!$B$5,"Needs support — see Indicator Analysis",""))</f>
        <v/>
      </c>
    </row>
    <row r="48">
      <c r="A48" s="6" t="n">
        <v>44</v>
      </c>
      <c r="B48" s="7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9">
        <f>IF(COUNT(C48:L48)=0,"",(C48+D48+E48+F48+G48+H48+I48+J48+K48)/170*100)</f>
        <v/>
      </c>
      <c r="N48" s="9">
        <f>IF(COUNT(L48)=0,"",L48/100*100)</f>
        <v/>
      </c>
      <c r="O48" s="9">
        <f>IF(OR(COUNT(C48:L48)=0,L48=""),"",M48*Settings!$B$3/100+N48*Settings!$B$4/100)</f>
        <v/>
      </c>
      <c r="P48" s="10">
        <f>IF(O48="","",IFERROR(VLOOKUP(O48,Settings!$A$8:$B$12,2,TRUE),""))</f>
        <v/>
      </c>
      <c r="Q48" s="11">
        <f>IF(O48="","",IF(O48&lt;Settings!$B$5,"Needs support — see Indicator Analysis",""))</f>
        <v/>
      </c>
    </row>
    <row r="49">
      <c r="A49" s="6" t="n">
        <v>45</v>
      </c>
      <c r="B49" s="7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9">
        <f>IF(COUNT(C49:L49)=0,"",(C49+D49+E49+F49+G49+H49+I49+J49+K49)/170*100)</f>
        <v/>
      </c>
      <c r="N49" s="9">
        <f>IF(COUNT(L49)=0,"",L49/100*100)</f>
        <v/>
      </c>
      <c r="O49" s="9">
        <f>IF(OR(COUNT(C49:L49)=0,L49=""),"",M49*Settings!$B$3/100+N49*Settings!$B$4/100)</f>
        <v/>
      </c>
      <c r="P49" s="10">
        <f>IF(O49="","",IFERROR(VLOOKUP(O49,Settings!$A$8:$B$12,2,TRUE),""))</f>
        <v/>
      </c>
      <c r="Q49" s="11">
        <f>IF(O49="","",IF(O49&lt;Settings!$B$5,"Needs support — see Indicator Analysis",""))</f>
        <v/>
      </c>
    </row>
    <row r="51">
      <c r="A51" s="12" t="inlineStr">
        <is>
          <t>CLASS SUMMARY</t>
        </is>
      </c>
    </row>
    <row r="52">
      <c r="A52" s="13" t="inlineStr">
        <is>
          <t>Learners entered</t>
        </is>
      </c>
      <c r="C52" s="14">
        <f>COUNT(O5:O49)</f>
        <v/>
      </c>
    </row>
    <row r="53">
      <c r="A53" s="13" t="inlineStr">
        <is>
          <t>Class average %</t>
        </is>
      </c>
      <c r="C53" s="15">
        <f>IFERROR(AVERAGE(O5:O49),"")</f>
        <v/>
      </c>
    </row>
    <row r="54">
      <c r="A54" s="13" t="inlineStr">
        <is>
          <t>Highest %</t>
        </is>
      </c>
      <c r="C54" s="15">
        <f>IFERROR(MAX(O5:O49),"")</f>
        <v/>
      </c>
    </row>
    <row r="55">
      <c r="A55" s="13" t="inlineStr">
        <is>
          <t>Lowest %</t>
        </is>
      </c>
      <c r="C55" s="15">
        <f>IFERROR(MIN(O5:O49),"")</f>
        <v/>
      </c>
    </row>
    <row r="56">
      <c r="A56" s="13" t="inlineStr">
        <is>
          <t>Learners at or above the pass mark</t>
        </is>
      </c>
      <c r="C56" s="14">
        <f>IFERROR(COUNTIF(O5:O49,"&gt;="&amp;Settings!$B$5),"")</f>
        <v/>
      </c>
    </row>
    <row r="57">
      <c r="A57" s="13" t="inlineStr">
        <is>
          <t>Pass rate %</t>
        </is>
      </c>
      <c r="C57" s="15">
        <f>IFERROR(COUNTIF(O5:O49,"&gt;="&amp;Settings!$B$5)/COUNT(O5:O49)*100,"")</f>
        <v/>
      </c>
    </row>
    <row r="58">
      <c r="A58" s="13" t="inlineStr">
        <is>
          <t>Learners below 40% (follow-up list)</t>
        </is>
      </c>
      <c r="C58" s="14">
        <f>IFERROR(COUNTIF(O5:O49,"&lt;40"),"")</f>
        <v/>
      </c>
    </row>
    <row r="60">
      <c r="A60" s="16" t="inlineStr">
        <is>
          <t>Average per assessment</t>
        </is>
      </c>
      <c r="C60" s="17">
        <f>IFERROR(AVERAGE(C5:C49),"")</f>
        <v/>
      </c>
      <c r="D60" s="17">
        <f>IFERROR(AVERAGE(D5:D49),"")</f>
        <v/>
      </c>
      <c r="E60" s="17">
        <f>IFERROR(AVERAGE(E5:E49),"")</f>
        <v/>
      </c>
      <c r="F60" s="17">
        <f>IFERROR(AVERAGE(F5:F49),"")</f>
        <v/>
      </c>
      <c r="G60" s="17">
        <f>IFERROR(AVERAGE(G5:G49),"")</f>
        <v/>
      </c>
      <c r="H60" s="17">
        <f>IFERROR(AVERAGE(H5:H49),"")</f>
        <v/>
      </c>
      <c r="I60" s="17">
        <f>IFERROR(AVERAGE(I5:I49),"")</f>
        <v/>
      </c>
      <c r="J60" s="17">
        <f>IFERROR(AVERAGE(J5:J49),"")</f>
        <v/>
      </c>
      <c r="K60" s="17">
        <f>IFERROR(AVERAGE(K5:K49),"")</f>
        <v/>
      </c>
      <c r="L60" s="17">
        <f>IFERROR(AVERAGE(L5:L49),"")</f>
        <v/>
      </c>
    </row>
    <row r="61">
      <c r="A61" s="16" t="inlineStr">
        <is>
          <t>Average as % of maximum</t>
        </is>
      </c>
      <c r="C61" s="18">
        <f>IFERROR(AVERAGE(C5:C49)/20*100,"")</f>
        <v/>
      </c>
      <c r="D61" s="18">
        <f>IFERROR(AVERAGE(D5:D49)/20*100,"")</f>
        <v/>
      </c>
      <c r="E61" s="18">
        <f>IFERROR(AVERAGE(E5:E49)/30*100,"")</f>
        <v/>
      </c>
      <c r="F61" s="18">
        <f>IFERROR(AVERAGE(F5:F49)/20*100,"")</f>
        <v/>
      </c>
      <c r="G61" s="18">
        <f>IFERROR(AVERAGE(G5:G49)/10*100,"")</f>
        <v/>
      </c>
      <c r="H61" s="18">
        <f>IFERROR(AVERAGE(H5:H49)/20*100,"")</f>
        <v/>
      </c>
      <c r="I61" s="18">
        <f>IFERROR(AVERAGE(I5:I49)/10*100,"")</f>
        <v/>
      </c>
      <c r="J61" s="18">
        <f>IFERROR(AVERAGE(J5:J49)/20*100,"")</f>
        <v/>
      </c>
      <c r="K61" s="18">
        <f>IFERROR(AVERAGE(K5:K49)/20*100,"")</f>
        <v/>
      </c>
      <c r="L61" s="18">
        <f>IFERROR(AVERAGE(L5:L49)/100*100,"")</f>
        <v/>
      </c>
    </row>
  </sheetData>
  <mergeCells count="11">
    <mergeCell ref="A54:B54"/>
    <mergeCell ref="A52:B52"/>
    <mergeCell ref="A57:B57"/>
    <mergeCell ref="A60:B60"/>
    <mergeCell ref="A58:B58"/>
    <mergeCell ref="A2:Q2"/>
    <mergeCell ref="A56:B56"/>
    <mergeCell ref="A61:B61"/>
    <mergeCell ref="A1:Q1"/>
    <mergeCell ref="A53:B53"/>
    <mergeCell ref="A55:B55"/>
  </mergeCells>
  <conditionalFormatting sqref="O5:O49">
    <cfRule type="cellIs" priority="1" operator="lessThan" dxfId="0">
      <formula>40</formula>
    </cfRule>
    <cfRule type="cellIs" priority="2" operator="between" dxfId="1">
      <formula>40</formula>
      <formula>54.999</formula>
    </cfRule>
    <cfRule type="cellIs" priority="3" operator="greaterThanOrEqual" dxfId="2">
      <formula>75</formula>
    </cfRule>
  </conditionalFormatting>
  <conditionalFormatting sqref="C5:L49">
    <cfRule type="colorScale" priority="4">
      <colorScale>
        <cfvo type="num" val="0"/>
        <cfvo type="percentile" val="50"/>
        <cfvo type="percentile" val="95"/>
        <color rgb="00F8CBCB"/>
        <color rgb="00FFF2CC"/>
        <color rgb="00D6EFD8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11" customWidth="1" min="3" max="3"/>
    <col width="10" customWidth="1" min="4" max="4"/>
    <col width="12" customWidth="1" min="5" max="5"/>
    <col width="12" customWidth="1" min="6" max="6"/>
    <col width="34" customWidth="1" min="7" max="7"/>
  </cols>
  <sheetData>
    <row r="1" ht="26" customHeight="1">
      <c r="A1" s="1" t="inlineStr">
        <is>
          <t>PER-INDICATOR ANALYSIS  —  which indicator is weakest?</t>
        </is>
      </c>
    </row>
    <row r="2" ht="30" customHeight="1">
      <c r="A2" s="19" t="inlineStr">
        <is>
          <t>After marking a unit test, enter the class mean score for each indicator in the cream column (from the test's marking scheme). The sheet flags the weakest indicator automatically — that is the one to re-teach first next term.</t>
        </is>
      </c>
    </row>
    <row r="4" ht="30" customHeight="1">
      <c r="A4" s="3" t="inlineStr">
        <is>
          <t>Indicator</t>
        </is>
      </c>
      <c r="B4" s="3" t="inlineStr">
        <is>
          <t>What learners should be able to do</t>
        </is>
      </c>
      <c r="C4" s="3" t="inlineStr">
        <is>
          <t>Assessed in</t>
        </is>
      </c>
      <c r="D4" s="3" t="inlineStr">
        <is>
          <t>Marks
for this
indicator</t>
        </is>
      </c>
      <c r="E4" s="3" t="inlineStr">
        <is>
          <t>Class mean
score</t>
        </is>
      </c>
      <c r="F4" s="3" t="inlineStr">
        <is>
          <t>Class mean
as %</t>
        </is>
      </c>
      <c r="G4" s="3" t="inlineStr">
        <is>
          <t>Action</t>
        </is>
      </c>
    </row>
    <row r="5">
      <c r="A5" s="20" t="inlineStr">
        <is>
          <t>B7.1.1.1.1</t>
        </is>
      </c>
      <c r="B5" s="21" t="inlineStr">
        <is>
          <t>Classify materials into liquids, solids and gases.</t>
        </is>
      </c>
      <c r="C5" s="22" t="inlineStr">
        <is>
          <t>UT1</t>
        </is>
      </c>
      <c r="D5" s="23" t="n"/>
      <c r="E5" s="23" t="n"/>
      <c r="F5" s="24">
        <f>IF(OR(D5="",E5=""),"",E5/D5*100)</f>
        <v/>
      </c>
      <c r="G5" s="25">
        <f>IF(F5="","",IF(F5&lt;40,"RE-TEACH FIRST",IF(F5&lt;55,"Reteach briefly","Secure")))</f>
        <v/>
      </c>
    </row>
    <row r="6">
      <c r="A6" s="20" t="inlineStr">
        <is>
          <t>B7.1.1.1.2</t>
        </is>
      </c>
      <c r="B6" s="21" t="inlineStr">
        <is>
          <t>Discuss the importance of liquids in the life of humans.</t>
        </is>
      </c>
      <c r="C6" s="22" t="inlineStr">
        <is>
          <t>UT1</t>
        </is>
      </c>
      <c r="D6" s="23" t="n"/>
      <c r="E6" s="23" t="n"/>
      <c r="F6" s="24">
        <f>IF(OR(D6="",E6=""),"",E6/D6*100)</f>
        <v/>
      </c>
      <c r="G6" s="25">
        <f>IF(F6="","",IF(F6&lt;40,"RE-TEACH FIRST",IF(F6&lt;55,"Reteach briefly","Secure")))</f>
        <v/>
      </c>
    </row>
    <row r="7">
      <c r="A7" s="20" t="inlineStr">
        <is>
          <t>B7.1.1.1.3</t>
        </is>
      </c>
      <c r="B7" s="21" t="inlineStr">
        <is>
          <t>Discuss the importance of specific solids to life.</t>
        </is>
      </c>
      <c r="C7" s="22" t="inlineStr">
        <is>
          <t>UT1</t>
        </is>
      </c>
      <c r="D7" s="23" t="n"/>
      <c r="E7" s="23" t="n"/>
      <c r="F7" s="24">
        <f>IF(OR(D7="",E7=""),"",E7/D7*100)</f>
        <v/>
      </c>
      <c r="G7" s="25">
        <f>IF(F7="","",IF(F7&lt;40,"RE-TEACH FIRST",IF(F7&lt;55,"Reteach briefly","Secure")))</f>
        <v/>
      </c>
    </row>
    <row r="8">
      <c r="A8" s="20" t="inlineStr">
        <is>
          <t>B7.1.1.2.1</t>
        </is>
      </c>
      <c r="B8" s="21" t="inlineStr">
        <is>
          <t>Orderly arrangement of metals, non-metals and noble gases.</t>
        </is>
      </c>
      <c r="C8" s="22" t="inlineStr">
        <is>
          <t>UT1</t>
        </is>
      </c>
      <c r="D8" s="23" t="n"/>
      <c r="E8" s="23" t="n"/>
      <c r="F8" s="24">
        <f>IF(OR(D8="",E8=""),"",E8/D8*100)</f>
        <v/>
      </c>
      <c r="G8" s="25">
        <f>IF(F8="","",IF(F8&lt;40,"RE-TEACH FIRST",IF(F8&lt;55,"Reteach briefly","Secure")))</f>
        <v/>
      </c>
    </row>
    <row r="9">
      <c r="A9" s="20" t="inlineStr">
        <is>
          <t>B7.1.2.1.1</t>
        </is>
      </c>
      <c r="B9" s="21" t="inlineStr">
        <is>
          <t>Describe the structure and function of living cells of an animal.</t>
        </is>
      </c>
      <c r="C9" s="22" t="inlineStr">
        <is>
          <t>UT1</t>
        </is>
      </c>
      <c r="D9" s="23" t="n"/>
      <c r="E9" s="23" t="n"/>
      <c r="F9" s="24">
        <f>IF(OR(D9="",E9=""),"",E9/D9*100)</f>
        <v/>
      </c>
      <c r="G9" s="25">
        <f>IF(F9="","",IF(F9&lt;40,"RE-TEACH FIRST",IF(F9&lt;55,"Reteach briefly","Secure")))</f>
        <v/>
      </c>
    </row>
    <row r="10">
      <c r="A10" s="20" t="inlineStr">
        <is>
          <t>B7.1.2.1.2</t>
        </is>
      </c>
      <c r="B10" s="21" t="inlineStr">
        <is>
          <t>State the functions of each organelle in a plant cell.</t>
        </is>
      </c>
      <c r="C10" s="22" t="inlineStr">
        <is>
          <t>UT1</t>
        </is>
      </c>
      <c r="D10" s="23" t="n"/>
      <c r="E10" s="23" t="n"/>
      <c r="F10" s="24">
        <f>IF(OR(D10="",E10=""),"",E10/D10*100)</f>
        <v/>
      </c>
      <c r="G10" s="25">
        <f>IF(F10="","",IF(F10&lt;40,"RE-TEACH FIRST",IF(F10&lt;55,"Reteach briefly","Secure")))</f>
        <v/>
      </c>
    </row>
    <row r="11">
      <c r="A11" s="20" t="inlineStr">
        <is>
          <t>B7.3.2.1.1</t>
        </is>
      </c>
      <c r="B11" s="21" t="inlineStr">
        <is>
          <t>Identify the inner planets and describe their properties.</t>
        </is>
      </c>
      <c r="C11" s="22" t="inlineStr">
        <is>
          <t>UT2</t>
        </is>
      </c>
      <c r="D11" s="23" t="n"/>
      <c r="E11" s="23" t="n"/>
      <c r="F11" s="24">
        <f>IF(OR(D11="",E11=""),"",E11/D11*100)</f>
        <v/>
      </c>
      <c r="G11" s="25">
        <f>IF(F11="","",IF(F11&lt;40,"RE-TEACH FIRST",IF(F11&lt;55,"Reteach briefly","Secure")))</f>
        <v/>
      </c>
    </row>
    <row r="12">
      <c r="A12" s="20" t="inlineStr">
        <is>
          <t>B7.3.2.1.2</t>
        </is>
      </c>
      <c r="B12" s="21" t="inlineStr">
        <is>
          <t>Properties and relative motions of Mercury and Venus.</t>
        </is>
      </c>
      <c r="C12" s="22" t="inlineStr">
        <is>
          <t>UT2</t>
        </is>
      </c>
      <c r="D12" s="23" t="n"/>
      <c r="E12" s="23" t="n"/>
      <c r="F12" s="24">
        <f>IF(OR(D12="",E12=""),"",E12/D12*100)</f>
        <v/>
      </c>
      <c r="G12" s="25">
        <f>IF(F12="","",IF(F12&lt;40,"RE-TEACH FIRST",IF(F12&lt;55,"Reteach briefly","Secure")))</f>
        <v/>
      </c>
    </row>
    <row r="13">
      <c r="A13" s="20" t="inlineStr">
        <is>
          <t>B7.2.1.1.1</t>
        </is>
      </c>
      <c r="B13" s="21" t="inlineStr">
        <is>
          <t>Explain how the water cycle occurs.</t>
        </is>
      </c>
      <c r="C13" s="22" t="inlineStr">
        <is>
          <t>UT3</t>
        </is>
      </c>
      <c r="D13" s="23" t="n"/>
      <c r="E13" s="23" t="n"/>
      <c r="F13" s="24">
        <f>IF(OR(D13="",E13=""),"",E13/D13*100)</f>
        <v/>
      </c>
      <c r="G13" s="25">
        <f>IF(F13="","",IF(F13&lt;40,"RE-TEACH FIRST",IF(F13&lt;55,"Reteach briefly","Secure")))</f>
        <v/>
      </c>
    </row>
    <row r="14">
      <c r="A14" s="20" t="inlineStr">
        <is>
          <t>B7.2.1.1.2</t>
        </is>
      </c>
      <c r="B14" s="21" t="inlineStr">
        <is>
          <t>Describe the importance of the water cycle in nature.</t>
        </is>
      </c>
      <c r="C14" s="22" t="inlineStr">
        <is>
          <t>UT3</t>
        </is>
      </c>
      <c r="D14" s="23" t="n"/>
      <c r="E14" s="23" t="n"/>
      <c r="F14" s="24">
        <f>IF(OR(D14="",E14=""),"",E14/D14*100)</f>
        <v/>
      </c>
      <c r="G14" s="25">
        <f>IF(F14="","",IF(F14&lt;40,"RE-TEACH FIRST",IF(F14&lt;55,"Reteach briefly","Secure")))</f>
        <v/>
      </c>
    </row>
    <row r="15">
      <c r="A15" s="20" t="inlineStr">
        <is>
          <t>B7.2.2.1.1</t>
        </is>
      </c>
      <c r="B15" s="21" t="inlineStr">
        <is>
          <t>Describe the life cycle of the housefly.</t>
        </is>
      </c>
      <c r="C15" s="22" t="inlineStr">
        <is>
          <t>UT3</t>
        </is>
      </c>
      <c r="D15" s="23" t="n"/>
      <c r="E15" s="23" t="n"/>
      <c r="F15" s="24">
        <f>IF(OR(D15="",E15=""),"",E15/D15*100)</f>
        <v/>
      </c>
      <c r="G15" s="25">
        <f>IF(F15="","",IF(F15&lt;40,"RE-TEACH FIRST",IF(F15&lt;55,"Reteach briefly","Secure")))</f>
        <v/>
      </c>
    </row>
    <row r="16">
      <c r="A16" s="20" t="inlineStr">
        <is>
          <t>B7.2.2.1.2</t>
        </is>
      </c>
      <c r="B16" s="21" t="inlineStr">
        <is>
          <t>Activities of the housefly as a menace, and how to reduce them.</t>
        </is>
      </c>
      <c r="C16" s="22" t="inlineStr">
        <is>
          <t>UT3</t>
        </is>
      </c>
      <c r="D16" s="23" t="n"/>
      <c r="E16" s="23" t="n"/>
      <c r="F16" s="24">
        <f>IF(OR(D16="",E16=""),"",E16/D16*100)</f>
        <v/>
      </c>
      <c r="G16" s="25">
        <f>IF(F16="","",IF(F16&lt;40,"RE-TEACH FIRST",IF(F16&lt;55,"Reteach briefly","Secure")))</f>
        <v/>
      </c>
    </row>
    <row r="17">
      <c r="A17" s="20" t="inlineStr">
        <is>
          <t>B7.2.3.1.1</t>
        </is>
      </c>
      <c r="B17" s="21" t="inlineStr">
        <is>
          <t>Categorise plant nutrient sources as organic or inorganic.</t>
        </is>
      </c>
      <c r="C17" s="22" t="inlineStr">
        <is>
          <t>UT3</t>
        </is>
      </c>
      <c r="D17" s="23" t="n"/>
      <c r="E17" s="23" t="n"/>
      <c r="F17" s="24">
        <f>IF(OR(D17="",E17=""),"",E17/D17*100)</f>
        <v/>
      </c>
      <c r="G17" s="25">
        <f>IF(F17="","",IF(F17&lt;40,"RE-TEACH FIRST",IF(F17&lt;55,"Reteach briefly","Secure")))</f>
        <v/>
      </c>
    </row>
    <row r="18">
      <c r="A18" s="20" t="inlineStr">
        <is>
          <t>B7.2.3.1.2</t>
        </is>
      </c>
      <c r="B18" s="21" t="inlineStr">
        <is>
          <t>Physical characteristics of nutrients and how each is applied.</t>
        </is>
      </c>
      <c r="C18" s="22" t="inlineStr">
        <is>
          <t>UT3</t>
        </is>
      </c>
      <c r="D18" s="23" t="n"/>
      <c r="E18" s="23" t="n"/>
      <c r="F18" s="24">
        <f>IF(OR(D18="",E18=""),"",E18/D18*100)</f>
        <v/>
      </c>
      <c r="G18" s="25">
        <f>IF(F18="","",IF(F18&lt;40,"RE-TEACH FIRST",IF(F18&lt;55,"Reteach briefly","Secure")))</f>
        <v/>
      </c>
    </row>
    <row r="19">
      <c r="A19" s="20" t="inlineStr">
        <is>
          <t>B7.4.1.1.1</t>
        </is>
      </c>
      <c r="B19" s="21" t="inlineStr">
        <is>
          <t>Identify the forms of energy and show how they are related.</t>
        </is>
      </c>
      <c r="C19" s="22" t="inlineStr">
        <is>
          <t>UT4</t>
        </is>
      </c>
      <c r="D19" s="23" t="n"/>
      <c r="E19" s="23" t="n"/>
      <c r="F19" s="24">
        <f>IF(OR(D19="",E19=""),"",E19/D19*100)</f>
        <v/>
      </c>
      <c r="G19" s="25">
        <f>IF(F19="","",IF(F19&lt;40,"RE-TEACH FIRST",IF(F19&lt;55,"Reteach briefly","Secure")))</f>
        <v/>
      </c>
    </row>
    <row r="20">
      <c r="A20" s="20" t="inlineStr">
        <is>
          <t>B7.4.1.1.2</t>
        </is>
      </c>
      <c r="B20" s="21" t="inlineStr">
        <is>
          <t>Explain daily applications of forms of energy.</t>
        </is>
      </c>
      <c r="C20" s="22" t="inlineStr">
        <is>
          <t>UT4</t>
        </is>
      </c>
      <c r="D20" s="23" t="n"/>
      <c r="E20" s="23" t="n"/>
      <c r="F20" s="24">
        <f>IF(OR(D20="",E20=""),"",E20/D20*100)</f>
        <v/>
      </c>
      <c r="G20" s="25">
        <f>IF(F20="","",IF(F20&lt;40,"RE-TEACH FIRST",IF(F20&lt;55,"Reteach briefly","Secure")))</f>
        <v/>
      </c>
    </row>
    <row r="21">
      <c r="A21" s="20" t="inlineStr">
        <is>
          <t>B7.4.1.3.1</t>
        </is>
      </c>
      <c r="B21" s="21" t="inlineStr">
        <is>
          <t>Demonstrate how light travels in a straight line.</t>
        </is>
      </c>
      <c r="C21" s="22" t="inlineStr">
        <is>
          <t>UT4</t>
        </is>
      </c>
      <c r="D21" s="23" t="n"/>
      <c r="E21" s="23" t="n"/>
      <c r="F21" s="24">
        <f>IF(OR(D21="",E21=""),"",E21/D21*100)</f>
        <v/>
      </c>
      <c r="G21" s="25">
        <f>IF(F21="","",IF(F21&lt;40,"RE-TEACH FIRST",IF(F21&lt;55,"Reteach briefly","Secure")))</f>
        <v/>
      </c>
    </row>
    <row r="23">
      <c r="A23" s="12" t="inlineStr">
        <is>
          <t>Weakest indicator (lowest class mean):</t>
        </is>
      </c>
      <c r="D23" s="26">
        <f>IFERROR(INDEX(A5:A21,MATCH(MIN(F5:F21),F5:F21,0)),"enter scores first")</f>
        <v/>
      </c>
    </row>
  </sheetData>
  <mergeCells count="4">
    <mergeCell ref="A23:C23"/>
    <mergeCell ref="A2:G2"/>
    <mergeCell ref="A1:G1"/>
    <mergeCell ref="D23:G23"/>
  </mergeCells>
  <conditionalFormatting sqref="F5:F21">
    <cfRule type="cellIs" priority="1" operator="lessThan" dxfId="3">
      <formula>40</formula>
    </cfRule>
    <cfRule type="cellIs" priority="2" operator="between" dxfId="1">
      <formula>40</formula>
      <formula>54.999</formula>
    </cfRule>
    <cfRule type="cellIs" priority="3" operator="greaterThanOrEqual" dxfId="2">
      <formula>75</formula>
    </cfRule>
  </conditionalFormatting>
  <conditionalFormatting sqref="G5:G21">
    <cfRule type="cellIs" priority="4" operator="equal" dxfId="4">
      <formula>"RE-TEACH FIRST"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6" customWidth="1" min="4" max="4"/>
  </cols>
  <sheetData>
    <row r="1" ht="26" customHeight="1">
      <c r="A1" s="1" t="inlineStr">
        <is>
          <t>GRADE DISTRIBUTION</t>
        </is>
      </c>
    </row>
    <row r="2">
      <c r="A2" s="2" t="inlineStr">
        <is>
          <t>Counts update automatically from the Class Record sheet.</t>
        </is>
      </c>
    </row>
    <row r="4" ht="30" customHeight="1">
      <c r="A4" s="3" t="inlineStr">
        <is>
          <t>Band</t>
        </is>
      </c>
      <c r="B4" s="3" t="inlineStr">
        <is>
          <t>Range</t>
        </is>
      </c>
      <c r="C4" s="3" t="inlineStr">
        <is>
          <t>Number of learners</t>
        </is>
      </c>
      <c r="D4" s="3" t="inlineStr">
        <is>
          <t>% of class</t>
        </is>
      </c>
    </row>
    <row r="5">
      <c r="A5" s="27" t="inlineStr">
        <is>
          <t>Distinction</t>
        </is>
      </c>
      <c r="B5" s="22" t="inlineStr">
        <is>
          <t>80 – 100</t>
        </is>
      </c>
      <c r="C5" s="28">
        <f>COUNTIFS('Class Record'!$O$5:$O$49,"&gt;="&amp;80,'Class Record'!$O$5:$O$49,"&lt;="&amp;100)</f>
        <v/>
      </c>
      <c r="D5" s="29">
        <f>IFERROR(C5/SUM($C$5:$C$9)*100,"")</f>
        <v/>
      </c>
    </row>
    <row r="6">
      <c r="A6" s="27" t="inlineStr">
        <is>
          <t>Credit</t>
        </is>
      </c>
      <c r="B6" s="22" t="inlineStr">
        <is>
          <t>65 – 79</t>
        </is>
      </c>
      <c r="C6" s="28">
        <f>COUNTIFS('Class Record'!$O$5:$O$49,"&gt;="&amp;65,'Class Record'!$O$5:$O$49,"&lt;="&amp;79.999)</f>
        <v/>
      </c>
      <c r="D6" s="29">
        <f>IFERROR(C6/SUM($C$5:$C$9)*100,"")</f>
        <v/>
      </c>
    </row>
    <row r="7">
      <c r="A7" s="27" t="inlineStr">
        <is>
          <t>Pass</t>
        </is>
      </c>
      <c r="B7" s="22" t="inlineStr">
        <is>
          <t>50 – 64</t>
        </is>
      </c>
      <c r="C7" s="28">
        <f>COUNTIFS('Class Record'!$O$5:$O$49,"&gt;="&amp;50,'Class Record'!$O$5:$O$49,"&lt;="&amp;64.999)</f>
        <v/>
      </c>
      <c r="D7" s="29">
        <f>IFERROR(C7/SUM($C$5:$C$9)*100,"")</f>
        <v/>
      </c>
    </row>
    <row r="8">
      <c r="A8" s="27" t="inlineStr">
        <is>
          <t>Below pass</t>
        </is>
      </c>
      <c r="B8" s="22" t="inlineStr">
        <is>
          <t>40 – 49</t>
        </is>
      </c>
      <c r="C8" s="28">
        <f>COUNTIFS('Class Record'!$O$5:$O$49,"&gt;="&amp;40,'Class Record'!$O$5:$O$49,"&lt;="&amp;49.999)</f>
        <v/>
      </c>
      <c r="D8" s="29">
        <f>IFERROR(C8/SUM($C$5:$C$9)*100,"")</f>
        <v/>
      </c>
    </row>
    <row r="9">
      <c r="A9" s="27" t="inlineStr">
        <is>
          <t>Needs urgent support</t>
        </is>
      </c>
      <c r="B9" s="22" t="inlineStr">
        <is>
          <t>0 – 39</t>
        </is>
      </c>
      <c r="C9" s="28">
        <f>COUNTIFS('Class Record'!$O$5:$O$49,"&gt;="&amp;0,'Class Record'!$O$5:$O$49,"&lt;="&amp;39.999)</f>
        <v/>
      </c>
      <c r="D9" s="29">
        <f>IFERROR(C9/SUM($C$5:$C$9)*100,"")</f>
        <v/>
      </c>
    </row>
    <row r="11">
      <c r="A11" s="30" t="inlineStr">
        <is>
          <t>Chart — right-click the chart and choose Refresh if it does not update.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2" customWidth="1" min="3" max="3"/>
  </cols>
  <sheetData>
    <row r="1" ht="26" customHeight="1">
      <c r="A1" s="1" t="inlineStr">
        <is>
          <t>SETTINGS  —  change these and every sheet updates</t>
        </is>
      </c>
    </row>
    <row r="3">
      <c r="A3" s="31" t="inlineStr">
        <is>
          <t>Classwork weighting (%)</t>
        </is>
      </c>
      <c r="B3" s="32" t="n">
        <v>50</v>
      </c>
      <c r="C3" s="2" t="inlineStr">
        <is>
          <t>Unit tests, rubrics, worksheets and practical work.</t>
        </is>
      </c>
    </row>
    <row r="4">
      <c r="A4" s="31" t="inlineStr">
        <is>
          <t>Examination weighting (%)</t>
        </is>
      </c>
      <c r="B4" s="32" t="n">
        <v>50</v>
      </c>
      <c r="C4" s="2" t="inlineStr">
        <is>
          <t>End-of-term examination.</t>
        </is>
      </c>
    </row>
    <row r="5">
      <c r="A5" s="31" t="inlineStr">
        <is>
          <t>Pass mark (%)</t>
        </is>
      </c>
      <c r="B5" s="32" t="n">
        <v>50</v>
      </c>
      <c r="C5" s="2" t="inlineStr">
        <is>
          <t>Used for the pass-rate summary and the Comments column.</t>
        </is>
      </c>
    </row>
    <row r="7" ht="30" customHeight="1">
      <c r="A7" s="3" t="inlineStr">
        <is>
          <t>Lower bound (%)</t>
        </is>
      </c>
      <c r="B7" s="3" t="inlineStr">
        <is>
          <t>Grade</t>
        </is>
      </c>
    </row>
    <row r="8">
      <c r="A8" s="33" t="n">
        <v>0</v>
      </c>
      <c r="B8" s="33" t="inlineStr">
        <is>
          <t>Needs urgent support</t>
        </is>
      </c>
    </row>
    <row r="9">
      <c r="A9" s="33" t="n">
        <v>40</v>
      </c>
      <c r="B9" s="33" t="inlineStr">
        <is>
          <t>Below pass</t>
        </is>
      </c>
    </row>
    <row r="10">
      <c r="A10" s="33" t="n">
        <v>50</v>
      </c>
      <c r="B10" s="33" t="inlineStr">
        <is>
          <t>Pass</t>
        </is>
      </c>
    </row>
    <row r="11">
      <c r="A11" s="33" t="n">
        <v>65</v>
      </c>
      <c r="B11" s="33" t="inlineStr">
        <is>
          <t>Credit</t>
        </is>
      </c>
    </row>
    <row r="12">
      <c r="A12" s="33" t="n">
        <v>80</v>
      </c>
      <c r="B12" s="33" t="inlineStr">
        <is>
          <t>Distinction</t>
        </is>
      </c>
    </row>
    <row r="14">
      <c r="A14" s="2" t="inlineStr">
        <is>
          <t>The grade lookup uses the table above, so you can change the boundaries to match your school. Keep the lower bounds in ascending order.</t>
        </is>
      </c>
    </row>
    <row r="16">
      <c r="A16" s="12" t="inlineStr">
        <is>
          <t>Assessment maxima (do not change unless you re-scale a test)</t>
        </is>
      </c>
    </row>
    <row r="17" ht="30" customHeight="1">
      <c r="A17" s="3" t="inlineStr">
        <is>
          <t>Code</t>
        </is>
      </c>
      <c r="B17" s="3" t="inlineStr">
        <is>
          <t>Max</t>
        </is>
      </c>
      <c r="C17" s="3" t="inlineStr">
        <is>
          <t>What it is</t>
        </is>
      </c>
    </row>
    <row r="18">
      <c r="A18" s="34" t="inlineStr">
        <is>
          <t>UT1</t>
        </is>
      </c>
      <c r="B18" s="35" t="n">
        <v>20</v>
      </c>
      <c r="C18" s="36" t="inlineStr">
        <is>
          <t>Unit Test 1 — Diversity of Matter</t>
        </is>
      </c>
    </row>
    <row r="19">
      <c r="A19" s="34" t="inlineStr">
        <is>
          <t>UT2</t>
        </is>
      </c>
      <c r="B19" s="35" t="n">
        <v>20</v>
      </c>
      <c r="C19" s="36" t="inlineStr">
        <is>
          <t>Unit Test 2 — Systems: The Solar System</t>
        </is>
      </c>
    </row>
    <row r="20">
      <c r="A20" s="34" t="inlineStr">
        <is>
          <t>UT3</t>
        </is>
      </c>
      <c r="B20" s="35" t="n">
        <v>30</v>
      </c>
      <c r="C20" s="36" t="inlineStr">
        <is>
          <t>Unit Test 3 — Cycles</t>
        </is>
      </c>
    </row>
    <row r="21">
      <c r="A21" s="34" t="inlineStr">
        <is>
          <t>UT4</t>
        </is>
      </c>
      <c r="B21" s="35" t="n">
        <v>20</v>
      </c>
      <c r="C21" s="36" t="inlineStr">
        <is>
          <t>Unit Test 4 — Forces and Energy</t>
        </is>
      </c>
    </row>
    <row r="22">
      <c r="A22" s="34" t="inlineStr">
        <is>
          <t>R1</t>
        </is>
      </c>
      <c r="B22" s="35" t="n">
        <v>10</v>
      </c>
      <c r="C22" s="36" t="inlineStr">
        <is>
          <t>Rubric — oral contribution, debate and group discussion</t>
        </is>
      </c>
    </row>
    <row r="23">
      <c r="A23" s="34" t="inlineStr">
        <is>
          <t>R3</t>
        </is>
      </c>
      <c r="B23" s="35" t="n">
        <v>20</v>
      </c>
      <c r="C23" s="36" t="inlineStr">
        <is>
          <t>Rubric — solar system model and oral explanation</t>
        </is>
      </c>
    </row>
    <row r="24">
      <c r="A24" s="34" t="inlineStr">
        <is>
          <t>R4</t>
        </is>
      </c>
      <c r="B24" s="35" t="n">
        <v>10</v>
      </c>
      <c r="C24" s="36" t="inlineStr">
        <is>
          <t>Rubric — group presentation or poster</t>
        </is>
      </c>
    </row>
    <row r="25">
      <c r="A25" s="34" t="inlineStr">
        <is>
          <t>R6</t>
        </is>
      </c>
      <c r="B25" s="35" t="n">
        <v>20</v>
      </c>
      <c r="C25" s="36" t="inlineStr">
        <is>
          <t>Rubric — housefly intervention and community poster</t>
        </is>
      </c>
    </row>
    <row r="26">
      <c r="A26" s="34" t="inlineStr">
        <is>
          <t>R7</t>
        </is>
      </c>
      <c r="B26" s="35" t="n">
        <v>20</v>
      </c>
      <c r="C26" s="36" t="inlineStr">
        <is>
          <t>Rubric — investigation report, school-garden trial</t>
        </is>
      </c>
    </row>
    <row r="27">
      <c r="A27" s="34" t="inlineStr">
        <is>
          <t>Exam</t>
        </is>
      </c>
      <c r="B27" s="35" t="n">
        <v>100</v>
      </c>
      <c r="C27" s="36" t="inlineStr">
        <is>
          <t>End-of-term examination</t>
        </is>
      </c>
    </row>
  </sheetData>
  <mergeCells count="2">
    <mergeCell ref="A14:C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2026-09-23T14:44:27Z</dcterms:created>
  <dcterms:modified xmlns:dcterms="http://purl.org/dc/terms/" xmlns:xsi="http://www.w3.org/2001/XMLSchema-instance" xsi:type="dcterms:W3CDTF">2026-09-23T14:44:27Z</dcterms:modified>
</cp:coreProperties>
</file>